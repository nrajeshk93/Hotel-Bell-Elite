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4328559d5ba38ed/Desktop/Veera/BAR MONTLY SALE REPORT TO DC OFFICE/"/>
    </mc:Choice>
  </mc:AlternateContent>
  <xr:revisionPtr revIDLastSave="1" documentId="11_F25DC773A252ABDACC1048A0599E58CC5BDE58EB" xr6:coauthVersionLast="47" xr6:coauthVersionMax="47" xr10:uidLastSave="{3E60B2B3-2F43-4DE8-9152-18A173BAAB8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3" i="1" l="1"/>
  <c r="F93" i="1"/>
  <c r="P93" i="1" s="1"/>
  <c r="M92" i="1"/>
  <c r="F92" i="1"/>
  <c r="P92" i="1" s="1"/>
  <c r="M91" i="1"/>
  <c r="F91" i="1"/>
  <c r="P91" i="1" s="1"/>
  <c r="M90" i="1"/>
  <c r="F90" i="1"/>
  <c r="P90" i="1" s="1"/>
  <c r="M89" i="1"/>
  <c r="F89" i="1"/>
  <c r="P89" i="1" s="1"/>
  <c r="P88" i="1"/>
  <c r="M88" i="1"/>
  <c r="F88" i="1"/>
  <c r="M87" i="1"/>
  <c r="E87" i="1"/>
  <c r="F87" i="1" s="1"/>
  <c r="P87" i="1" s="1"/>
  <c r="M86" i="1"/>
  <c r="F86" i="1"/>
  <c r="P86" i="1" s="1"/>
  <c r="M85" i="1"/>
  <c r="F85" i="1"/>
  <c r="P85" i="1" s="1"/>
  <c r="M84" i="1"/>
  <c r="F84" i="1"/>
  <c r="P84" i="1" s="1"/>
  <c r="P83" i="1"/>
  <c r="M83" i="1"/>
  <c r="F83" i="1"/>
  <c r="M82" i="1"/>
  <c r="F82" i="1"/>
  <c r="P82" i="1" s="1"/>
  <c r="P81" i="1"/>
  <c r="M81" i="1"/>
  <c r="F81" i="1"/>
  <c r="M80" i="1"/>
  <c r="F80" i="1"/>
  <c r="P80" i="1" s="1"/>
  <c r="M79" i="1"/>
  <c r="F79" i="1"/>
  <c r="P79" i="1" s="1"/>
  <c r="E79" i="1"/>
  <c r="M78" i="1"/>
  <c r="F78" i="1"/>
  <c r="P78" i="1" s="1"/>
  <c r="E78" i="1"/>
  <c r="M77" i="1"/>
  <c r="F77" i="1"/>
  <c r="P77" i="1" s="1"/>
  <c r="M76" i="1"/>
  <c r="F76" i="1"/>
  <c r="P76" i="1" s="1"/>
  <c r="M75" i="1"/>
  <c r="F75" i="1"/>
  <c r="P75" i="1" s="1"/>
  <c r="P74" i="1"/>
  <c r="M74" i="1"/>
  <c r="F74" i="1"/>
  <c r="M73" i="1"/>
  <c r="F73" i="1"/>
  <c r="P73" i="1" s="1"/>
  <c r="M72" i="1"/>
  <c r="F72" i="1"/>
  <c r="P72" i="1" s="1"/>
  <c r="M71" i="1"/>
  <c r="F71" i="1"/>
  <c r="P71" i="1" s="1"/>
  <c r="P70" i="1"/>
  <c r="M70" i="1"/>
  <c r="F70" i="1"/>
  <c r="P69" i="1"/>
  <c r="M69" i="1"/>
  <c r="M94" i="1" s="1"/>
  <c r="M95" i="1" s="1"/>
  <c r="F69" i="1"/>
  <c r="X63" i="1"/>
  <c r="J63" i="1"/>
  <c r="K63" i="1" s="1"/>
  <c r="G63" i="1"/>
  <c r="F63" i="1"/>
  <c r="T63" i="1" s="1"/>
  <c r="X62" i="1"/>
  <c r="T62" i="1"/>
  <c r="J62" i="1"/>
  <c r="K62" i="1" s="1"/>
  <c r="G62" i="1"/>
  <c r="U62" i="1" s="1"/>
  <c r="F62" i="1"/>
  <c r="X61" i="1"/>
  <c r="T61" i="1"/>
  <c r="U61" i="1" s="1"/>
  <c r="J61" i="1"/>
  <c r="K61" i="1" s="1"/>
  <c r="G61" i="1"/>
  <c r="F61" i="1"/>
  <c r="X60" i="1"/>
  <c r="K60" i="1"/>
  <c r="S60" i="1" s="1"/>
  <c r="J60" i="1"/>
  <c r="G60" i="1"/>
  <c r="F60" i="1"/>
  <c r="T60" i="1" s="1"/>
  <c r="U60" i="1" s="1"/>
  <c r="V60" i="1" s="1"/>
  <c r="X59" i="1"/>
  <c r="J59" i="1"/>
  <c r="K59" i="1" s="1"/>
  <c r="G59" i="1"/>
  <c r="U59" i="1" s="1"/>
  <c r="F59" i="1"/>
  <c r="T59" i="1" s="1"/>
  <c r="X58" i="1"/>
  <c r="T58" i="1"/>
  <c r="J58" i="1"/>
  <c r="K58" i="1" s="1"/>
  <c r="G58" i="1"/>
  <c r="U58" i="1" s="1"/>
  <c r="F58" i="1"/>
  <c r="X57" i="1"/>
  <c r="T57" i="1"/>
  <c r="U57" i="1" s="1"/>
  <c r="J57" i="1"/>
  <c r="K57" i="1" s="1"/>
  <c r="G57" i="1"/>
  <c r="F57" i="1"/>
  <c r="X56" i="1"/>
  <c r="T56" i="1"/>
  <c r="U56" i="1" s="1"/>
  <c r="J56" i="1"/>
  <c r="K56" i="1" s="1"/>
  <c r="F56" i="1"/>
  <c r="X55" i="1"/>
  <c r="T55" i="1"/>
  <c r="U55" i="1" s="1"/>
  <c r="J55" i="1"/>
  <c r="K55" i="1" s="1"/>
  <c r="G55" i="1"/>
  <c r="F55" i="1"/>
  <c r="X54" i="1"/>
  <c r="K54" i="1"/>
  <c r="M54" i="1" s="1"/>
  <c r="J54" i="1"/>
  <c r="G54" i="1"/>
  <c r="F54" i="1"/>
  <c r="T54" i="1" s="1"/>
  <c r="U54" i="1" s="1"/>
  <c r="X53" i="1"/>
  <c r="J53" i="1"/>
  <c r="K53" i="1" s="1"/>
  <c r="G53" i="1"/>
  <c r="F53" i="1"/>
  <c r="T53" i="1" s="1"/>
  <c r="X52" i="1"/>
  <c r="T52" i="1"/>
  <c r="J52" i="1"/>
  <c r="K52" i="1" s="1"/>
  <c r="G52" i="1"/>
  <c r="U52" i="1" s="1"/>
  <c r="F52" i="1"/>
  <c r="X51" i="1"/>
  <c r="T51" i="1"/>
  <c r="U51" i="1" s="1"/>
  <c r="J51" i="1"/>
  <c r="K51" i="1" s="1"/>
  <c r="G51" i="1"/>
  <c r="F51" i="1"/>
  <c r="X50" i="1"/>
  <c r="K50" i="1"/>
  <c r="S50" i="1" s="1"/>
  <c r="J50" i="1"/>
  <c r="G50" i="1"/>
  <c r="F50" i="1"/>
  <c r="T50" i="1" s="1"/>
  <c r="U50" i="1" s="1"/>
  <c r="X49" i="1"/>
  <c r="S49" i="1"/>
  <c r="M49" i="1"/>
  <c r="K49" i="1"/>
  <c r="J49" i="1"/>
  <c r="G49" i="1"/>
  <c r="F49" i="1"/>
  <c r="T49" i="1" s="1"/>
  <c r="X48" i="1"/>
  <c r="T48" i="1"/>
  <c r="K48" i="1"/>
  <c r="J48" i="1"/>
  <c r="G48" i="1"/>
  <c r="U48" i="1" s="1"/>
  <c r="F48" i="1"/>
  <c r="X47" i="1"/>
  <c r="T47" i="1"/>
  <c r="U47" i="1" s="1"/>
  <c r="J47" i="1"/>
  <c r="K47" i="1" s="1"/>
  <c r="G47" i="1"/>
  <c r="F47" i="1"/>
  <c r="X46" i="1"/>
  <c r="K46" i="1"/>
  <c r="S46" i="1" s="1"/>
  <c r="J46" i="1"/>
  <c r="G46" i="1"/>
  <c r="F46" i="1"/>
  <c r="T46" i="1" s="1"/>
  <c r="U46" i="1" s="1"/>
  <c r="X45" i="1"/>
  <c r="J45" i="1"/>
  <c r="K45" i="1" s="1"/>
  <c r="G45" i="1"/>
  <c r="F45" i="1"/>
  <c r="T45" i="1" s="1"/>
  <c r="X44" i="1"/>
  <c r="U44" i="1"/>
  <c r="T44" i="1"/>
  <c r="J44" i="1"/>
  <c r="K44" i="1" s="1"/>
  <c r="G44" i="1"/>
  <c r="F44" i="1"/>
  <c r="X43" i="1"/>
  <c r="T43" i="1"/>
  <c r="U43" i="1" s="1"/>
  <c r="J43" i="1"/>
  <c r="K43" i="1" s="1"/>
  <c r="G43" i="1"/>
  <c r="F43" i="1"/>
  <c r="X42" i="1"/>
  <c r="M42" i="1"/>
  <c r="K42" i="1"/>
  <c r="S42" i="1" s="1"/>
  <c r="J42" i="1"/>
  <c r="F42" i="1"/>
  <c r="T42" i="1" s="1"/>
  <c r="U42" i="1" s="1"/>
  <c r="V42" i="1" s="1"/>
  <c r="X41" i="1"/>
  <c r="K41" i="1"/>
  <c r="S41" i="1" s="1"/>
  <c r="J41" i="1"/>
  <c r="G41" i="1"/>
  <c r="F41" i="1"/>
  <c r="T41" i="1" s="1"/>
  <c r="U41" i="1" s="1"/>
  <c r="V41" i="1" s="1"/>
  <c r="X40" i="1"/>
  <c r="J40" i="1"/>
  <c r="K40" i="1" s="1"/>
  <c r="G40" i="1"/>
  <c r="U40" i="1" s="1"/>
  <c r="F40" i="1"/>
  <c r="T40" i="1" s="1"/>
  <c r="X39" i="1"/>
  <c r="U39" i="1"/>
  <c r="T39" i="1"/>
  <c r="J39" i="1"/>
  <c r="K39" i="1" s="1"/>
  <c r="G39" i="1"/>
  <c r="F39" i="1"/>
  <c r="X38" i="1"/>
  <c r="T38" i="1"/>
  <c r="U38" i="1" s="1"/>
  <c r="J38" i="1"/>
  <c r="K38" i="1" s="1"/>
  <c r="G38" i="1"/>
  <c r="F38" i="1"/>
  <c r="X37" i="1"/>
  <c r="K37" i="1"/>
  <c r="M37" i="1" s="1"/>
  <c r="J37" i="1"/>
  <c r="G37" i="1"/>
  <c r="F37" i="1"/>
  <c r="T37" i="1" s="1"/>
  <c r="U37" i="1" s="1"/>
  <c r="X36" i="1"/>
  <c r="T36" i="1"/>
  <c r="J36" i="1"/>
  <c r="K36" i="1" s="1"/>
  <c r="G36" i="1"/>
  <c r="U36" i="1" s="1"/>
  <c r="F36" i="1"/>
  <c r="X35" i="1"/>
  <c r="T35" i="1"/>
  <c r="K35" i="1"/>
  <c r="S35" i="1" s="1"/>
  <c r="J35" i="1"/>
  <c r="G35" i="1"/>
  <c r="U35" i="1" s="1"/>
  <c r="F35" i="1"/>
  <c r="X34" i="1"/>
  <c r="T34" i="1"/>
  <c r="U34" i="1" s="1"/>
  <c r="J34" i="1"/>
  <c r="K34" i="1" s="1"/>
  <c r="G34" i="1"/>
  <c r="F34" i="1"/>
  <c r="X33" i="1"/>
  <c r="K33" i="1"/>
  <c r="S33" i="1" s="1"/>
  <c r="J33" i="1"/>
  <c r="G33" i="1"/>
  <c r="F33" i="1"/>
  <c r="T33" i="1" s="1"/>
  <c r="U33" i="1" s="1"/>
  <c r="V33" i="1" s="1"/>
  <c r="X32" i="1"/>
  <c r="J32" i="1"/>
  <c r="K32" i="1" s="1"/>
  <c r="G32" i="1"/>
  <c r="U32" i="1" s="1"/>
  <c r="F32" i="1"/>
  <c r="T32" i="1" s="1"/>
  <c r="X31" i="1"/>
  <c r="U31" i="1"/>
  <c r="T31" i="1"/>
  <c r="J31" i="1"/>
  <c r="K31" i="1" s="1"/>
  <c r="G31" i="1"/>
  <c r="F31" i="1"/>
  <c r="X30" i="1"/>
  <c r="T30" i="1"/>
  <c r="K30" i="1"/>
  <c r="M30" i="1" s="1"/>
  <c r="J30" i="1"/>
  <c r="G30" i="1"/>
  <c r="U30" i="1" s="1"/>
  <c r="V30" i="1" s="1"/>
  <c r="F30" i="1"/>
  <c r="X29" i="1"/>
  <c r="T29" i="1"/>
  <c r="U29" i="1" s="1"/>
  <c r="J29" i="1"/>
  <c r="K29" i="1" s="1"/>
  <c r="G29" i="1"/>
  <c r="F29" i="1"/>
  <c r="X28" i="1"/>
  <c r="K28" i="1"/>
  <c r="S28" i="1" s="1"/>
  <c r="J28" i="1"/>
  <c r="G28" i="1"/>
  <c r="F28" i="1"/>
  <c r="T28" i="1" s="1"/>
  <c r="U28" i="1" s="1"/>
  <c r="V28" i="1" s="1"/>
  <c r="X27" i="1"/>
  <c r="S27" i="1"/>
  <c r="M27" i="1"/>
  <c r="K27" i="1"/>
  <c r="G27" i="1"/>
  <c r="U27" i="1" s="1"/>
  <c r="V27" i="1" s="1"/>
  <c r="F27" i="1"/>
  <c r="T27" i="1" s="1"/>
  <c r="X26" i="1"/>
  <c r="T26" i="1"/>
  <c r="U26" i="1" s="1"/>
  <c r="V26" i="1" s="1"/>
  <c r="S26" i="1"/>
  <c r="M26" i="1"/>
  <c r="K26" i="1"/>
  <c r="G26" i="1"/>
  <c r="F26" i="1"/>
  <c r="X25" i="1"/>
  <c r="J25" i="1"/>
  <c r="K25" i="1" s="1"/>
  <c r="G25" i="1"/>
  <c r="U25" i="1" s="1"/>
  <c r="F25" i="1"/>
  <c r="T25" i="1" s="1"/>
  <c r="X24" i="1"/>
  <c r="U24" i="1"/>
  <c r="T24" i="1"/>
  <c r="J24" i="1"/>
  <c r="K24" i="1" s="1"/>
  <c r="G24" i="1"/>
  <c r="F24" i="1"/>
  <c r="X23" i="1"/>
  <c r="T23" i="1"/>
  <c r="U23" i="1" s="1"/>
  <c r="J23" i="1"/>
  <c r="K23" i="1" s="1"/>
  <c r="G23" i="1"/>
  <c r="F23" i="1"/>
  <c r="X22" i="1"/>
  <c r="K22" i="1"/>
  <c r="S22" i="1" s="1"/>
  <c r="J22" i="1"/>
  <c r="G22" i="1"/>
  <c r="F22" i="1"/>
  <c r="T22" i="1" s="1"/>
  <c r="U22" i="1" s="1"/>
  <c r="V22" i="1" s="1"/>
  <c r="X21" i="1"/>
  <c r="T21" i="1"/>
  <c r="S21" i="1"/>
  <c r="M21" i="1"/>
  <c r="K21" i="1"/>
  <c r="J21" i="1"/>
  <c r="G21" i="1"/>
  <c r="U21" i="1" s="1"/>
  <c r="V21" i="1" s="1"/>
  <c r="F21" i="1"/>
  <c r="X20" i="1"/>
  <c r="T20" i="1"/>
  <c r="K20" i="1"/>
  <c r="S20" i="1" s="1"/>
  <c r="J20" i="1"/>
  <c r="G20" i="1"/>
  <c r="U20" i="1" s="1"/>
  <c r="V20" i="1" s="1"/>
  <c r="F20" i="1"/>
  <c r="X19" i="1"/>
  <c r="T19" i="1"/>
  <c r="U19" i="1" s="1"/>
  <c r="J19" i="1"/>
  <c r="K19" i="1" s="1"/>
  <c r="G19" i="1"/>
  <c r="F19" i="1"/>
  <c r="E19" i="1"/>
  <c r="X18" i="1"/>
  <c r="T18" i="1"/>
  <c r="S18" i="1"/>
  <c r="M18" i="1"/>
  <c r="K18" i="1"/>
  <c r="J18" i="1"/>
  <c r="G18" i="1"/>
  <c r="U18" i="1" s="1"/>
  <c r="V18" i="1" s="1"/>
  <c r="F18" i="1"/>
  <c r="X17" i="1"/>
  <c r="T17" i="1"/>
  <c r="K17" i="1"/>
  <c r="S17" i="1" s="1"/>
  <c r="J17" i="1"/>
  <c r="G17" i="1"/>
  <c r="U17" i="1" s="1"/>
  <c r="F17" i="1"/>
  <c r="X16" i="1"/>
  <c r="T16" i="1"/>
  <c r="U16" i="1" s="1"/>
  <c r="J16" i="1"/>
  <c r="K16" i="1" s="1"/>
  <c r="G16" i="1"/>
  <c r="F16" i="1"/>
  <c r="X15" i="1"/>
  <c r="K15" i="1"/>
  <c r="S15" i="1" s="1"/>
  <c r="J15" i="1"/>
  <c r="G15" i="1"/>
  <c r="F15" i="1"/>
  <c r="T15" i="1" s="1"/>
  <c r="U15" i="1" s="1"/>
  <c r="V15" i="1" s="1"/>
  <c r="X14" i="1"/>
  <c r="J14" i="1"/>
  <c r="K14" i="1" s="1"/>
  <c r="G14" i="1"/>
  <c r="U14" i="1" s="1"/>
  <c r="F14" i="1"/>
  <c r="T14" i="1" s="1"/>
  <c r="X13" i="1"/>
  <c r="U13" i="1"/>
  <c r="T13" i="1"/>
  <c r="J13" i="1"/>
  <c r="K13" i="1" s="1"/>
  <c r="G13" i="1"/>
  <c r="F13" i="1"/>
  <c r="X12" i="1"/>
  <c r="T12" i="1"/>
  <c r="U12" i="1" s="1"/>
  <c r="J12" i="1"/>
  <c r="K12" i="1" s="1"/>
  <c r="G12" i="1"/>
  <c r="F12" i="1"/>
  <c r="X11" i="1"/>
  <c r="K11" i="1"/>
  <c r="S11" i="1" s="1"/>
  <c r="J11" i="1"/>
  <c r="G11" i="1"/>
  <c r="F11" i="1"/>
  <c r="T11" i="1" s="1"/>
  <c r="U11" i="1" s="1"/>
  <c r="V11" i="1" s="1"/>
  <c r="X10" i="1"/>
  <c r="T10" i="1"/>
  <c r="S10" i="1"/>
  <c r="M10" i="1"/>
  <c r="K10" i="1"/>
  <c r="J10" i="1"/>
  <c r="G10" i="1"/>
  <c r="U10" i="1" s="1"/>
  <c r="V10" i="1" s="1"/>
  <c r="F10" i="1"/>
  <c r="X9" i="1"/>
  <c r="T9" i="1"/>
  <c r="K9" i="1"/>
  <c r="S9" i="1" s="1"/>
  <c r="J9" i="1"/>
  <c r="G9" i="1"/>
  <c r="U9" i="1" s="1"/>
  <c r="V9" i="1" s="1"/>
  <c r="F9" i="1"/>
  <c r="X8" i="1"/>
  <c r="T8" i="1"/>
  <c r="U8" i="1" s="1"/>
  <c r="J8" i="1"/>
  <c r="K8" i="1" s="1"/>
  <c r="G8" i="1"/>
  <c r="F8" i="1"/>
  <c r="X7" i="1"/>
  <c r="K7" i="1"/>
  <c r="S7" i="1" s="1"/>
  <c r="J7" i="1"/>
  <c r="G7" i="1"/>
  <c r="F7" i="1"/>
  <c r="T7" i="1" s="1"/>
  <c r="U7" i="1" s="1"/>
  <c r="V7" i="1" s="1"/>
  <c r="W42" i="1" l="1"/>
  <c r="Y42" i="1"/>
  <c r="Z42" i="1" s="1"/>
  <c r="Y7" i="1"/>
  <c r="Z7" i="1" s="1"/>
  <c r="W7" i="1"/>
  <c r="W11" i="1"/>
  <c r="Y11" i="1"/>
  <c r="Z11" i="1" s="1"/>
  <c r="V12" i="1"/>
  <c r="W22" i="1"/>
  <c r="Y22" i="1"/>
  <c r="Z22" i="1" s="1"/>
  <c r="S29" i="1"/>
  <c r="M29" i="1"/>
  <c r="V37" i="1"/>
  <c r="M43" i="1"/>
  <c r="S43" i="1"/>
  <c r="V43" i="1" s="1"/>
  <c r="S52" i="1"/>
  <c r="V52" i="1" s="1"/>
  <c r="M52" i="1"/>
  <c r="V57" i="1"/>
  <c r="V59" i="1"/>
  <c r="Y10" i="1"/>
  <c r="Z10" i="1" s="1"/>
  <c r="W10" i="1"/>
  <c r="Y21" i="1"/>
  <c r="Z21" i="1" s="1"/>
  <c r="W21" i="1"/>
  <c r="Y26" i="1"/>
  <c r="Z26" i="1" s="1"/>
  <c r="W26" i="1"/>
  <c r="S32" i="1"/>
  <c r="V32" i="1" s="1"/>
  <c r="M32" i="1"/>
  <c r="S59" i="1"/>
  <c r="M59" i="1"/>
  <c r="S14" i="1"/>
  <c r="M14" i="1"/>
  <c r="S25" i="1"/>
  <c r="V25" i="1" s="1"/>
  <c r="M25" i="1"/>
  <c r="S34" i="1"/>
  <c r="V34" i="1" s="1"/>
  <c r="M34" i="1"/>
  <c r="S40" i="1"/>
  <c r="V40" i="1" s="1"/>
  <c r="M40" i="1"/>
  <c r="U45" i="1"/>
  <c r="S48" i="1"/>
  <c r="V48" i="1" s="1"/>
  <c r="M48" i="1"/>
  <c r="S56" i="1"/>
  <c r="V56" i="1" s="1"/>
  <c r="Y56" i="1" s="1"/>
  <c r="Z56" i="1" s="1"/>
  <c r="M56" i="1"/>
  <c r="S61" i="1"/>
  <c r="M61" i="1"/>
  <c r="V14" i="1"/>
  <c r="V29" i="1"/>
  <c r="Y9" i="1"/>
  <c r="Z9" i="1" s="1"/>
  <c r="W9" i="1"/>
  <c r="S16" i="1"/>
  <c r="M16" i="1"/>
  <c r="Y20" i="1"/>
  <c r="Z20" i="1" s="1"/>
  <c r="W20" i="1"/>
  <c r="S31" i="1"/>
  <c r="M31" i="1"/>
  <c r="Y33" i="1"/>
  <c r="Z33" i="1" s="1"/>
  <c r="W33" i="1"/>
  <c r="S45" i="1"/>
  <c r="M45" i="1"/>
  <c r="S51" i="1"/>
  <c r="M51" i="1"/>
  <c r="V58" i="1"/>
  <c r="Y60" i="1"/>
  <c r="Z60" i="1" s="1"/>
  <c r="W60" i="1"/>
  <c r="V61" i="1"/>
  <c r="U63" i="1"/>
  <c r="V16" i="1"/>
  <c r="S24" i="1"/>
  <c r="M24" i="1"/>
  <c r="W27" i="1"/>
  <c r="Y27" i="1"/>
  <c r="Z27" i="1" s="1"/>
  <c r="Y30" i="1"/>
  <c r="Z30" i="1" s="1"/>
  <c r="W30" i="1"/>
  <c r="S39" i="1"/>
  <c r="V39" i="1" s="1"/>
  <c r="M39" i="1"/>
  <c r="Y41" i="1"/>
  <c r="Z41" i="1" s="1"/>
  <c r="W41" i="1"/>
  <c r="S47" i="1"/>
  <c r="V47" i="1" s="1"/>
  <c r="M47" i="1"/>
  <c r="V50" i="1"/>
  <c r="V51" i="1"/>
  <c r="U53" i="1"/>
  <c r="S58" i="1"/>
  <c r="M58" i="1"/>
  <c r="S63" i="1"/>
  <c r="M63" i="1"/>
  <c r="Y15" i="1"/>
  <c r="Z15" i="1" s="1"/>
  <c r="W15" i="1"/>
  <c r="Y18" i="1"/>
  <c r="Z18" i="1" s="1"/>
  <c r="W18" i="1"/>
  <c r="V31" i="1"/>
  <c r="S36" i="1"/>
  <c r="V36" i="1" s="1"/>
  <c r="M36" i="1"/>
  <c r="S44" i="1"/>
  <c r="V44" i="1" s="1"/>
  <c r="M44" i="1"/>
  <c r="V46" i="1"/>
  <c r="S53" i="1"/>
  <c r="M53" i="1"/>
  <c r="V24" i="1"/>
  <c r="V35" i="1"/>
  <c r="U49" i="1"/>
  <c r="V49" i="1" s="1"/>
  <c r="S55" i="1"/>
  <c r="M55" i="1"/>
  <c r="V62" i="1"/>
  <c r="Y28" i="1"/>
  <c r="Z28" i="1" s="1"/>
  <c r="W28" i="1"/>
  <c r="S13" i="1"/>
  <c r="V13" i="1" s="1"/>
  <c r="M13" i="1"/>
  <c r="S8" i="1"/>
  <c r="V8" i="1" s="1"/>
  <c r="M8" i="1"/>
  <c r="M12" i="1"/>
  <c r="S12" i="1"/>
  <c r="V17" i="1"/>
  <c r="S19" i="1"/>
  <c r="V19" i="1" s="1"/>
  <c r="M19" i="1"/>
  <c r="M23" i="1"/>
  <c r="S23" i="1"/>
  <c r="V23" i="1" s="1"/>
  <c r="M38" i="1"/>
  <c r="S38" i="1"/>
  <c r="V38" i="1" s="1"/>
  <c r="V54" i="1"/>
  <c r="V55" i="1"/>
  <c r="S57" i="1"/>
  <c r="M57" i="1"/>
  <c r="S62" i="1"/>
  <c r="M62" i="1"/>
  <c r="S54" i="1"/>
  <c r="M9" i="1"/>
  <c r="M17" i="1"/>
  <c r="M20" i="1"/>
  <c r="M35" i="1"/>
  <c r="M11" i="1"/>
  <c r="M22" i="1"/>
  <c r="M50" i="1"/>
  <c r="M60" i="1"/>
  <c r="S37" i="1"/>
  <c r="Z76" i="1"/>
  <c r="M7" i="1"/>
  <c r="M15" i="1"/>
  <c r="M28" i="1"/>
  <c r="M33" i="1"/>
  <c r="M41" i="1"/>
  <c r="M46" i="1"/>
  <c r="Y19" i="1" l="1"/>
  <c r="Z19" i="1" s="1"/>
  <c r="W19" i="1"/>
  <c r="Y39" i="1"/>
  <c r="Z39" i="1" s="1"/>
  <c r="W39" i="1"/>
  <c r="W48" i="1"/>
  <c r="Y48" i="1"/>
  <c r="Z48" i="1" s="1"/>
  <c r="Y43" i="1"/>
  <c r="Z43" i="1" s="1"/>
  <c r="W43" i="1"/>
  <c r="Y38" i="1"/>
  <c r="Z38" i="1" s="1"/>
  <c r="W38" i="1"/>
  <c r="W25" i="1"/>
  <c r="Y25" i="1"/>
  <c r="Z25" i="1" s="1"/>
  <c r="Y44" i="1"/>
  <c r="Z44" i="1" s="1"/>
  <c r="W44" i="1"/>
  <c r="Y47" i="1"/>
  <c r="Z47" i="1" s="1"/>
  <c r="W47" i="1"/>
  <c r="Y52" i="1"/>
  <c r="Z52" i="1" s="1"/>
  <c r="W52" i="1"/>
  <c r="Y23" i="1"/>
  <c r="Z23" i="1" s="1"/>
  <c r="W23" i="1"/>
  <c r="Y8" i="1"/>
  <c r="Z8" i="1" s="1"/>
  <c r="W8" i="1"/>
  <c r="W40" i="1"/>
  <c r="Y40" i="1"/>
  <c r="Z40" i="1" s="1"/>
  <c r="Y36" i="1"/>
  <c r="Z36" i="1" s="1"/>
  <c r="W36" i="1"/>
  <c r="Y13" i="1"/>
  <c r="Z13" i="1" s="1"/>
  <c r="W13" i="1"/>
  <c r="Y34" i="1"/>
  <c r="Z34" i="1" s="1"/>
  <c r="W34" i="1"/>
  <c r="W32" i="1"/>
  <c r="Y32" i="1"/>
  <c r="Z32" i="1" s="1"/>
  <c r="M64" i="1"/>
  <c r="M65" i="1" s="1"/>
  <c r="Z75" i="1"/>
  <c r="Z81" i="1" s="1"/>
  <c r="Z82" i="1" s="1"/>
  <c r="Y55" i="1"/>
  <c r="Z55" i="1" s="1"/>
  <c r="W55" i="1"/>
  <c r="Y59" i="1"/>
  <c r="Z59" i="1" s="1"/>
  <c r="W59" i="1"/>
  <c r="Y54" i="1"/>
  <c r="Z54" i="1" s="1"/>
  <c r="W54" i="1"/>
  <c r="Y24" i="1"/>
  <c r="Z24" i="1" s="1"/>
  <c r="W24" i="1"/>
  <c r="W58" i="1"/>
  <c r="Y58" i="1"/>
  <c r="Z58" i="1" s="1"/>
  <c r="Y57" i="1"/>
  <c r="Z57" i="1" s="1"/>
  <c r="W57" i="1"/>
  <c r="Y17" i="1"/>
  <c r="Z17" i="1" s="1"/>
  <c r="W17" i="1"/>
  <c r="Y12" i="1"/>
  <c r="Z12" i="1" s="1"/>
  <c r="W12" i="1"/>
  <c r="Y62" i="1"/>
  <c r="Z62" i="1" s="1"/>
  <c r="W62" i="1"/>
  <c r="Y31" i="1"/>
  <c r="Z31" i="1" s="1"/>
  <c r="W31" i="1"/>
  <c r="Y29" i="1"/>
  <c r="Z29" i="1" s="1"/>
  <c r="W29" i="1"/>
  <c r="W37" i="1"/>
  <c r="Y37" i="1"/>
  <c r="Z37" i="1" s="1"/>
  <c r="V53" i="1"/>
  <c r="Y16" i="1"/>
  <c r="Z16" i="1" s="1"/>
  <c r="W16" i="1"/>
  <c r="V45" i="1"/>
  <c r="Y51" i="1"/>
  <c r="Z51" i="1" s="1"/>
  <c r="W51" i="1"/>
  <c r="V63" i="1"/>
  <c r="W14" i="1"/>
  <c r="Y14" i="1"/>
  <c r="Z14" i="1" s="1"/>
  <c r="Y35" i="1"/>
  <c r="Z35" i="1" s="1"/>
  <c r="W35" i="1"/>
  <c r="Y49" i="1"/>
  <c r="Z49" i="1" s="1"/>
  <c r="W49" i="1"/>
  <c r="Y46" i="1"/>
  <c r="Z46" i="1" s="1"/>
  <c r="W46" i="1"/>
  <c r="Y50" i="1"/>
  <c r="Z50" i="1" s="1"/>
  <c r="W50" i="1"/>
  <c r="Y61" i="1"/>
  <c r="Z61" i="1" s="1"/>
  <c r="W61" i="1"/>
  <c r="W45" i="1" l="1"/>
  <c r="Y45" i="1"/>
  <c r="Z45" i="1" s="1"/>
  <c r="W53" i="1"/>
  <c r="Y53" i="1"/>
  <c r="Z53" i="1" s="1"/>
  <c r="W63" i="1"/>
  <c r="Y63" i="1"/>
  <c r="Z63" i="1" s="1"/>
</calcChain>
</file>

<file path=xl/sharedStrings.xml><?xml version="1.0" encoding="utf-8"?>
<sst xmlns="http://schemas.openxmlformats.org/spreadsheetml/2006/main" count="143" uniqueCount="116">
  <si>
    <t>HOTEL BELL ELITE</t>
  </si>
  <si>
    <t>Gurudwara LanePort blair South Andaman A&amp;N Island</t>
  </si>
  <si>
    <t>Contract no:  9933268361/7900003192</t>
  </si>
  <si>
    <t xml:space="preserve">                                                                                Bar Monthly Sale and Stock Register of                                                            JULY 2026</t>
  </si>
  <si>
    <t>S/No</t>
  </si>
  <si>
    <t>Particulars</t>
  </si>
  <si>
    <t>Opening Stock</t>
  </si>
  <si>
    <t>Purchased</t>
  </si>
  <si>
    <t>Total Stock</t>
  </si>
  <si>
    <t>Sale</t>
  </si>
  <si>
    <t>Discard</t>
  </si>
  <si>
    <t>Closing Stock</t>
  </si>
  <si>
    <t>Name</t>
  </si>
  <si>
    <t>Bottel</t>
  </si>
  <si>
    <t>Pegs 30ML</t>
  </si>
  <si>
    <t>btl to peg</t>
  </si>
  <si>
    <t>total peg</t>
  </si>
  <si>
    <t>Rate per peg</t>
  </si>
  <si>
    <t>Total Amt</t>
  </si>
  <si>
    <t>TOTEL PEG SALE</t>
  </si>
  <si>
    <t>BOTTEL TO PEG IN STOCK</t>
  </si>
  <si>
    <t>TOTEL IN PEG IN STOCK</t>
  </si>
  <si>
    <t>SALE -STOCK PEG</t>
  </si>
  <si>
    <t>PEG TO BOTTEL BALANCE</t>
  </si>
  <si>
    <t>CLOSING STOCK BTL TO PEG</t>
  </si>
  <si>
    <t>CLOSING STOCK BOTTEL -BALANCE</t>
  </si>
  <si>
    <t>Amrut fishion</t>
  </si>
  <si>
    <t>Absolute plane</t>
  </si>
  <si>
    <t>Absolute Orange</t>
  </si>
  <si>
    <t>Antiquity Blue</t>
  </si>
  <si>
    <t xml:space="preserve"> Baileys</t>
  </si>
  <si>
    <t>Bomore</t>
  </si>
  <si>
    <t>Bombay Sapphire</t>
  </si>
  <si>
    <t>Black Dog Reseve</t>
  </si>
  <si>
    <t>Bacardi Lemon Rum</t>
  </si>
  <si>
    <t>Black Lable</t>
  </si>
  <si>
    <t>Bacardi White Rum</t>
  </si>
  <si>
    <t>Bacardi Black Rum</t>
  </si>
  <si>
    <t>Blenders Pride</t>
  </si>
  <si>
    <t>Black &amp; White</t>
  </si>
  <si>
    <t>Ballantines</t>
  </si>
  <si>
    <t>Cragganmore</t>
  </si>
  <si>
    <t>Chivas Regal</t>
  </si>
  <si>
    <t>Camino real tequila</t>
  </si>
  <si>
    <t>Dewars White Lable</t>
  </si>
  <si>
    <t>Dos Flamos Blanco tequila</t>
  </si>
  <si>
    <t>Double Black</t>
  </si>
  <si>
    <t>ENSO</t>
  </si>
  <si>
    <t>four seasons  red wine</t>
  </si>
  <si>
    <t>four seasons  white wine</t>
  </si>
  <si>
    <t>Grey Goose Vodka</t>
  </si>
  <si>
    <t>Hobosons</t>
  </si>
  <si>
    <t>Jacobs greek shiraz red wine</t>
  </si>
  <si>
    <t>Jacobs greek sparkling wine</t>
  </si>
  <si>
    <t>Jacobs greek white wine</t>
  </si>
  <si>
    <t>Jack Daniels Honey</t>
  </si>
  <si>
    <t>Jack Daniels Tennessee</t>
  </si>
  <si>
    <t>Jack Daniels Fire</t>
  </si>
  <si>
    <t xml:space="preserve">Jameson </t>
  </si>
  <si>
    <t>Jim Beam</t>
  </si>
  <si>
    <t>Jagermeister</t>
  </si>
  <si>
    <t>London dry gin</t>
  </si>
  <si>
    <t>Magic movement</t>
  </si>
  <si>
    <t>Magic movement orange</t>
  </si>
  <si>
    <t>Morpheus xo brandy</t>
  </si>
  <si>
    <t>Mansion house</t>
  </si>
  <si>
    <t>Paul John</t>
  </si>
  <si>
    <t>Royal Salute</t>
  </si>
  <si>
    <t>Royal Challenge</t>
  </si>
  <si>
    <t>Royal Palace Brandy</t>
  </si>
  <si>
    <t>Red lable</t>
  </si>
  <si>
    <t>Romanov plane</t>
  </si>
  <si>
    <t>Smirnoff Plane</t>
  </si>
  <si>
    <t>Smirnoff Orange</t>
  </si>
  <si>
    <t>Smirnoff Apple</t>
  </si>
  <si>
    <t>Singleton 12y</t>
  </si>
  <si>
    <t>Stolicenaya</t>
  </si>
  <si>
    <t>Sula satori red wine</t>
  </si>
  <si>
    <t xml:space="preserve">Teachers golden </t>
  </si>
  <si>
    <t>Teachers Highland</t>
  </si>
  <si>
    <t>Tequilla Where House</t>
  </si>
  <si>
    <t>Vat 69</t>
  </si>
  <si>
    <t>100 pipper</t>
  </si>
  <si>
    <t>Bottel/Can</t>
  </si>
  <si>
    <t>rate per btl</t>
  </si>
  <si>
    <t>total amt</t>
  </si>
  <si>
    <t>BEER</t>
  </si>
  <si>
    <t xml:space="preserve">Bacardi Cranberry </t>
  </si>
  <si>
    <t xml:space="preserve">Bacardi Orange </t>
  </si>
  <si>
    <t>Bro code</t>
  </si>
  <si>
    <t>BlockBuster Premium</t>
  </si>
  <si>
    <t>BlockBuster Strong</t>
  </si>
  <si>
    <t>Blackberry Breezer</t>
  </si>
  <si>
    <t>Cranberry Breezer</t>
  </si>
  <si>
    <t>TOTAL IMFL SALES</t>
  </si>
  <si>
    <t>Budweiser Premium</t>
  </si>
  <si>
    <t>TOTAL BEER SALES</t>
  </si>
  <si>
    <t>Budweiser Premium CAN</t>
  </si>
  <si>
    <t>Budweiser magnum</t>
  </si>
  <si>
    <t>Budweiser magnum CAN</t>
  </si>
  <si>
    <t>British empire ultra pre CAN</t>
  </si>
  <si>
    <t>Haywords 5000</t>
  </si>
  <si>
    <t>TOTAL MONTLY SALES</t>
  </si>
  <si>
    <t>Hunter strong pre beer btl</t>
  </si>
  <si>
    <t>VAT</t>
  </si>
  <si>
    <t>Hunter strong pre beer can</t>
  </si>
  <si>
    <t xml:space="preserve">Heinekene </t>
  </si>
  <si>
    <t>Jmaican Breezer</t>
  </si>
  <si>
    <t>kingfisher Premium</t>
  </si>
  <si>
    <t>kingfisher Strong</t>
  </si>
  <si>
    <t>kingfisher Storm</t>
  </si>
  <si>
    <t>kingfisher Ultra</t>
  </si>
  <si>
    <t>kingfisher Ultra Max</t>
  </si>
  <si>
    <t>SNJ 10000 Strong beer can</t>
  </si>
  <si>
    <t>Sterren 8 Strong</t>
  </si>
  <si>
    <t>High Voltage strong beer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</si>
</sst>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1"/>
      <scheme val="maj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6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7"/>
  <sheetViews>
    <sheetView tabSelected="1" workbookViewId="0">
      <selection activeCell="AB20" sqref="AB20"/>
    </sheetView>
  </sheetViews>
  <sheetFormatPr defaultRowHeight="15" x14ac:dyDescent="0.25"/>
  <cols>
    <col min="1" max="1" width="6.140625" style="4" bestFit="1" customWidth="1"/>
    <col min="2" max="2" width="26" style="4" bestFit="1" customWidth="1"/>
    <col min="3" max="3" width="7.28515625" style="4" bestFit="1" customWidth="1"/>
    <col min="4" max="4" width="12" style="4" bestFit="1" customWidth="1"/>
    <col min="5" max="5" width="11.5703125" style="31" bestFit="1" customWidth="1"/>
    <col min="6" max="6" width="7.28515625" style="31" bestFit="1" customWidth="1"/>
    <col min="7" max="7" width="12" style="31" bestFit="1" customWidth="1"/>
    <col min="8" max="8" width="11.85546875" style="31" bestFit="1" customWidth="1"/>
    <col min="9" max="9" width="12" style="31" bestFit="1" customWidth="1"/>
    <col min="10" max="10" width="9.140625" style="4"/>
    <col min="11" max="11" width="8.5703125" style="4" bestFit="1" customWidth="1"/>
    <col min="12" max="12" width="12.42578125" style="4" bestFit="1" customWidth="1"/>
    <col min="13" max="13" width="10.42578125" style="4" bestFit="1" customWidth="1"/>
    <col min="14" max="14" width="7.28515625" style="4" bestFit="1" customWidth="1"/>
    <col min="15" max="15" width="12" style="4" bestFit="1" customWidth="1"/>
    <col min="16" max="16" width="14.5703125" style="31" bestFit="1" customWidth="1"/>
    <col min="17" max="17" width="18.42578125" style="31" customWidth="1"/>
    <col min="18" max="18" width="2.42578125" style="4" hidden="1" customWidth="1"/>
    <col min="19" max="19" width="11" style="5" hidden="1" customWidth="1"/>
    <col min="20" max="20" width="16.85546875" style="5" hidden="1" customWidth="1"/>
    <col min="21" max="21" width="15.7109375" style="5" hidden="1" customWidth="1"/>
    <col min="22" max="22" width="11.7109375" style="5" hidden="1" customWidth="1"/>
    <col min="23" max="23" width="16.85546875" style="5" bestFit="1" customWidth="1"/>
    <col min="24" max="24" width="18.85546875" style="5" hidden="1" customWidth="1"/>
    <col min="25" max="25" width="23.140625" style="5" bestFit="1" customWidth="1"/>
    <col min="26" max="26" width="7" style="4" bestFit="1" customWidth="1"/>
    <col min="27" max="16384" width="9.140625" style="4"/>
  </cols>
  <sheetData>
    <row r="1" spans="1:2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28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1:28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</row>
    <row r="4" spans="1:28" ht="15.7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1:28" x14ac:dyDescent="0.25">
      <c r="A5" s="12" t="s">
        <v>4</v>
      </c>
      <c r="B5" s="13" t="s">
        <v>5</v>
      </c>
      <c r="C5" s="14" t="s">
        <v>6</v>
      </c>
      <c r="D5" s="14"/>
      <c r="E5" s="15" t="s">
        <v>7</v>
      </c>
      <c r="F5" s="16" t="s">
        <v>8</v>
      </c>
      <c r="G5" s="16"/>
      <c r="H5" s="16" t="s">
        <v>9</v>
      </c>
      <c r="I5" s="16"/>
      <c r="J5" s="15"/>
      <c r="K5" s="15"/>
      <c r="L5" s="15"/>
      <c r="M5" s="15"/>
      <c r="N5" s="16" t="s">
        <v>10</v>
      </c>
      <c r="O5" s="16"/>
      <c r="P5" s="16" t="s">
        <v>11</v>
      </c>
      <c r="Q5" s="17"/>
    </row>
    <row r="6" spans="1:28" ht="15.75" thickBot="1" x14ac:dyDescent="0.3">
      <c r="A6" s="18"/>
      <c r="B6" s="19" t="s">
        <v>12</v>
      </c>
      <c r="C6" s="20" t="s">
        <v>13</v>
      </c>
      <c r="D6" s="21" t="s">
        <v>14</v>
      </c>
      <c r="E6" s="20" t="s">
        <v>13</v>
      </c>
      <c r="F6" s="20" t="s">
        <v>13</v>
      </c>
      <c r="G6" s="20" t="s">
        <v>14</v>
      </c>
      <c r="H6" s="20" t="s">
        <v>13</v>
      </c>
      <c r="I6" s="20" t="s">
        <v>14</v>
      </c>
      <c r="J6" s="20" t="s">
        <v>15</v>
      </c>
      <c r="K6" s="20" t="s">
        <v>16</v>
      </c>
      <c r="L6" s="20" t="s">
        <v>17</v>
      </c>
      <c r="M6" s="20" t="s">
        <v>18</v>
      </c>
      <c r="N6" s="20" t="s">
        <v>13</v>
      </c>
      <c r="O6" s="20" t="s">
        <v>14</v>
      </c>
      <c r="P6" s="20" t="s">
        <v>13</v>
      </c>
      <c r="Q6" s="21" t="s">
        <v>14</v>
      </c>
      <c r="S6" s="22" t="s">
        <v>19</v>
      </c>
      <c r="T6" s="22" t="s">
        <v>20</v>
      </c>
      <c r="U6" s="22" t="s">
        <v>21</v>
      </c>
      <c r="V6" s="22" t="s">
        <v>22</v>
      </c>
      <c r="W6" s="22" t="s">
        <v>23</v>
      </c>
      <c r="X6" s="22" t="s">
        <v>24</v>
      </c>
      <c r="Y6" s="22" t="s">
        <v>25</v>
      </c>
    </row>
    <row r="7" spans="1:28" x14ac:dyDescent="0.25">
      <c r="A7" s="23">
        <v>1</v>
      </c>
      <c r="B7" s="24" t="s">
        <v>26</v>
      </c>
      <c r="C7" s="25">
        <v>5</v>
      </c>
      <c r="D7" s="26">
        <v>7</v>
      </c>
      <c r="E7" s="25">
        <v>0</v>
      </c>
      <c r="F7" s="25">
        <f t="shared" ref="F7:F63" si="0">C7+E7</f>
        <v>5</v>
      </c>
      <c r="G7" s="25">
        <f t="shared" ref="G7:G59" si="1">D7</f>
        <v>7</v>
      </c>
      <c r="H7" s="25">
        <v>0</v>
      </c>
      <c r="I7" s="25">
        <v>0</v>
      </c>
      <c r="J7" s="25">
        <f>H7*25</f>
        <v>0</v>
      </c>
      <c r="K7" s="25">
        <f>I7+J7</f>
        <v>0</v>
      </c>
      <c r="L7" s="25">
        <v>250</v>
      </c>
      <c r="M7" s="25">
        <f>K7*L7</f>
        <v>0</v>
      </c>
      <c r="N7" s="25">
        <v>0</v>
      </c>
      <c r="O7" s="25">
        <v>0</v>
      </c>
      <c r="P7" s="25">
        <v>5</v>
      </c>
      <c r="Q7" s="26">
        <v>7</v>
      </c>
      <c r="S7" s="5">
        <f>K7</f>
        <v>0</v>
      </c>
      <c r="T7" s="5">
        <f>F7*25</f>
        <v>125</v>
      </c>
      <c r="U7" s="5">
        <f t="shared" ref="U7:U63" si="2">G7+T7</f>
        <v>132</v>
      </c>
      <c r="V7" s="5">
        <f t="shared" ref="V7:V9" si="3">U7-S7</f>
        <v>132</v>
      </c>
      <c r="W7" s="5">
        <f>V7/25</f>
        <v>5.28</v>
      </c>
      <c r="X7" s="5">
        <f>P7*25</f>
        <v>125</v>
      </c>
      <c r="Y7" s="5">
        <f>V7-X7</f>
        <v>7</v>
      </c>
      <c r="Z7" s="4">
        <f>Q7-Y7</f>
        <v>0</v>
      </c>
    </row>
    <row r="8" spans="1:28" x14ac:dyDescent="0.25">
      <c r="A8" s="27">
        <v>2</v>
      </c>
      <c r="B8" s="28" t="s">
        <v>27</v>
      </c>
      <c r="C8" s="25">
        <v>7</v>
      </c>
      <c r="D8" s="26">
        <v>13</v>
      </c>
      <c r="E8" s="25">
        <v>0</v>
      </c>
      <c r="F8" s="29">
        <f t="shared" si="0"/>
        <v>7</v>
      </c>
      <c r="G8" s="29">
        <f t="shared" si="1"/>
        <v>13</v>
      </c>
      <c r="H8" s="25">
        <v>0</v>
      </c>
      <c r="I8" s="25">
        <v>8</v>
      </c>
      <c r="J8" s="29">
        <f t="shared" ref="J8:J63" si="4">H8*25</f>
        <v>0</v>
      </c>
      <c r="K8" s="25">
        <f t="shared" ref="K8:K63" si="5">I8+J8</f>
        <v>8</v>
      </c>
      <c r="L8" s="29">
        <v>250</v>
      </c>
      <c r="M8" s="29">
        <f>K8*L8</f>
        <v>2000</v>
      </c>
      <c r="N8" s="25">
        <v>0</v>
      </c>
      <c r="O8" s="25">
        <v>0</v>
      </c>
      <c r="P8" s="25">
        <v>7</v>
      </c>
      <c r="Q8" s="26">
        <v>5</v>
      </c>
      <c r="S8" s="5">
        <f t="shared" ref="S8:S63" si="6">K8</f>
        <v>8</v>
      </c>
      <c r="T8" s="5">
        <f t="shared" ref="T8:T9" si="7">F8*25</f>
        <v>175</v>
      </c>
      <c r="U8" s="5">
        <f t="shared" si="2"/>
        <v>188</v>
      </c>
      <c r="V8" s="5">
        <f t="shared" si="3"/>
        <v>180</v>
      </c>
      <c r="W8" s="5">
        <f>V8/25</f>
        <v>7.2</v>
      </c>
      <c r="X8" s="5">
        <f t="shared" ref="X8:X63" si="8">P8*25</f>
        <v>175</v>
      </c>
      <c r="Y8" s="5">
        <f t="shared" ref="Y8:Y41" si="9">V8-X8</f>
        <v>5</v>
      </c>
      <c r="Z8" s="4">
        <f t="shared" ref="Z8:Z47" si="10">Q8-Y8</f>
        <v>0</v>
      </c>
    </row>
    <row r="9" spans="1:28" x14ac:dyDescent="0.25">
      <c r="A9" s="27">
        <v>3</v>
      </c>
      <c r="B9" s="28" t="s">
        <v>28</v>
      </c>
      <c r="C9" s="25">
        <v>5</v>
      </c>
      <c r="D9" s="26">
        <v>20</v>
      </c>
      <c r="E9" s="25">
        <v>0</v>
      </c>
      <c r="F9" s="29">
        <f t="shared" si="0"/>
        <v>5</v>
      </c>
      <c r="G9" s="29">
        <f t="shared" si="1"/>
        <v>20</v>
      </c>
      <c r="H9" s="25">
        <v>0</v>
      </c>
      <c r="I9" s="25">
        <v>6</v>
      </c>
      <c r="J9" s="29">
        <f t="shared" si="4"/>
        <v>0</v>
      </c>
      <c r="K9" s="25">
        <f t="shared" si="5"/>
        <v>6</v>
      </c>
      <c r="L9" s="29">
        <v>260</v>
      </c>
      <c r="M9" s="29">
        <f t="shared" ref="M9:M63" si="11">K9*L9</f>
        <v>1560</v>
      </c>
      <c r="N9" s="25">
        <v>0</v>
      </c>
      <c r="O9" s="25">
        <v>0</v>
      </c>
      <c r="P9" s="25">
        <v>5</v>
      </c>
      <c r="Q9" s="26">
        <v>14</v>
      </c>
      <c r="S9" s="5">
        <f t="shared" si="6"/>
        <v>6</v>
      </c>
      <c r="T9" s="5">
        <f t="shared" si="7"/>
        <v>125</v>
      </c>
      <c r="U9" s="5">
        <f t="shared" si="2"/>
        <v>145</v>
      </c>
      <c r="V9" s="5">
        <f t="shared" si="3"/>
        <v>139</v>
      </c>
      <c r="W9" s="5">
        <f t="shared" ref="W9:W63" si="12">V9/25</f>
        <v>5.56</v>
      </c>
      <c r="X9" s="5">
        <f t="shared" si="8"/>
        <v>125</v>
      </c>
      <c r="Y9" s="5">
        <f t="shared" si="9"/>
        <v>14</v>
      </c>
      <c r="Z9" s="4">
        <f t="shared" si="10"/>
        <v>0</v>
      </c>
    </row>
    <row r="10" spans="1:28" x14ac:dyDescent="0.25">
      <c r="A10" s="23">
        <v>4</v>
      </c>
      <c r="B10" s="30" t="s">
        <v>29</v>
      </c>
      <c r="C10" s="25">
        <v>5</v>
      </c>
      <c r="D10" s="26">
        <v>2</v>
      </c>
      <c r="E10" s="25">
        <v>0</v>
      </c>
      <c r="F10" s="29">
        <f t="shared" si="0"/>
        <v>5</v>
      </c>
      <c r="G10" s="29">
        <f t="shared" si="1"/>
        <v>2</v>
      </c>
      <c r="H10" s="25">
        <v>1</v>
      </c>
      <c r="I10" s="25">
        <v>2</v>
      </c>
      <c r="J10" s="29">
        <f>H10*25</f>
        <v>25</v>
      </c>
      <c r="K10" s="25">
        <f t="shared" si="5"/>
        <v>27</v>
      </c>
      <c r="L10" s="29">
        <v>140</v>
      </c>
      <c r="M10" s="29">
        <f t="shared" si="11"/>
        <v>3780</v>
      </c>
      <c r="N10" s="25">
        <v>0</v>
      </c>
      <c r="O10" s="25">
        <v>0</v>
      </c>
      <c r="P10" s="25">
        <v>4</v>
      </c>
      <c r="Q10" s="26">
        <v>0</v>
      </c>
      <c r="S10" s="5">
        <f>K10</f>
        <v>27</v>
      </c>
      <c r="T10" s="5">
        <f>F10*25</f>
        <v>125</v>
      </c>
      <c r="U10" s="5">
        <f>G10+T10</f>
        <v>127</v>
      </c>
      <c r="V10" s="5">
        <f>U10-S10</f>
        <v>100</v>
      </c>
      <c r="W10" s="5">
        <f t="shared" si="12"/>
        <v>4</v>
      </c>
      <c r="X10" s="5">
        <f t="shared" si="8"/>
        <v>100</v>
      </c>
      <c r="Y10" s="5">
        <f>V10-X10</f>
        <v>0</v>
      </c>
      <c r="Z10" s="4">
        <f>Q10-Y10</f>
        <v>0</v>
      </c>
    </row>
    <row r="11" spans="1:28" x14ac:dyDescent="0.25">
      <c r="A11" s="27">
        <v>5</v>
      </c>
      <c r="B11" s="30" t="s">
        <v>30</v>
      </c>
      <c r="C11" s="25">
        <v>0</v>
      </c>
      <c r="D11" s="26">
        <v>0</v>
      </c>
      <c r="E11" s="25">
        <v>0</v>
      </c>
      <c r="F11" s="29">
        <f t="shared" si="0"/>
        <v>0</v>
      </c>
      <c r="G11" s="29">
        <f t="shared" si="1"/>
        <v>0</v>
      </c>
      <c r="H11" s="25">
        <v>0</v>
      </c>
      <c r="I11" s="25">
        <v>0</v>
      </c>
      <c r="J11" s="29">
        <f t="shared" ref="J11:J12" si="13">H11*25</f>
        <v>0</v>
      </c>
      <c r="K11" s="25">
        <f t="shared" si="5"/>
        <v>0</v>
      </c>
      <c r="L11" s="29">
        <v>260</v>
      </c>
      <c r="M11" s="29">
        <f t="shared" si="11"/>
        <v>0</v>
      </c>
      <c r="N11" s="25">
        <v>0</v>
      </c>
      <c r="O11" s="25">
        <v>0</v>
      </c>
      <c r="P11" s="25">
        <v>0</v>
      </c>
      <c r="Q11" s="26">
        <v>0</v>
      </c>
      <c r="S11" s="5">
        <f>K11</f>
        <v>0</v>
      </c>
      <c r="T11" s="5">
        <f>F11*25</f>
        <v>0</v>
      </c>
      <c r="U11" s="5">
        <f t="shared" ref="U11" si="14">G11+T11</f>
        <v>0</v>
      </c>
      <c r="V11" s="5">
        <f>U11-S11</f>
        <v>0</v>
      </c>
      <c r="W11" s="5">
        <f>V11/25</f>
        <v>0</v>
      </c>
      <c r="X11" s="5">
        <f t="shared" si="8"/>
        <v>0</v>
      </c>
      <c r="Y11" s="5">
        <f t="shared" si="9"/>
        <v>0</v>
      </c>
      <c r="Z11" s="4">
        <f>Q11-Y11</f>
        <v>0</v>
      </c>
    </row>
    <row r="12" spans="1:28" x14ac:dyDescent="0.25">
      <c r="A12" s="27">
        <v>6</v>
      </c>
      <c r="B12" s="30" t="s">
        <v>31</v>
      </c>
      <c r="C12" s="25">
        <v>2</v>
      </c>
      <c r="D12" s="26">
        <v>6</v>
      </c>
      <c r="E12" s="25">
        <v>0</v>
      </c>
      <c r="F12" s="29">
        <f t="shared" si="0"/>
        <v>2</v>
      </c>
      <c r="G12" s="29">
        <f t="shared" si="1"/>
        <v>6</v>
      </c>
      <c r="H12" s="25">
        <v>0</v>
      </c>
      <c r="I12" s="25">
        <v>0</v>
      </c>
      <c r="J12" s="29">
        <f t="shared" si="13"/>
        <v>0</v>
      </c>
      <c r="K12" s="25">
        <f t="shared" si="5"/>
        <v>0</v>
      </c>
      <c r="L12" s="29">
        <v>550</v>
      </c>
      <c r="M12" s="29">
        <f t="shared" si="11"/>
        <v>0</v>
      </c>
      <c r="N12" s="25">
        <v>0</v>
      </c>
      <c r="O12" s="25">
        <v>0</v>
      </c>
      <c r="P12" s="25">
        <v>2</v>
      </c>
      <c r="Q12" s="26">
        <v>6</v>
      </c>
      <c r="S12" s="5">
        <f>K12</f>
        <v>0</v>
      </c>
      <c r="T12" s="5">
        <f>F12*25</f>
        <v>50</v>
      </c>
      <c r="U12" s="5">
        <f>G12+T12</f>
        <v>56</v>
      </c>
      <c r="V12" s="5">
        <f>U12-S12</f>
        <v>56</v>
      </c>
      <c r="W12" s="5">
        <f>V12/25</f>
        <v>2.2400000000000002</v>
      </c>
      <c r="X12" s="5">
        <f t="shared" si="8"/>
        <v>50</v>
      </c>
      <c r="Y12" s="5">
        <f>V12-X12</f>
        <v>6</v>
      </c>
      <c r="Z12" s="4">
        <f t="shared" si="10"/>
        <v>0</v>
      </c>
    </row>
    <row r="13" spans="1:28" s="31" customFormat="1" x14ac:dyDescent="0.25">
      <c r="A13" s="23">
        <v>7</v>
      </c>
      <c r="B13" s="28" t="s">
        <v>32</v>
      </c>
      <c r="C13" s="25">
        <v>9</v>
      </c>
      <c r="D13" s="26">
        <v>23</v>
      </c>
      <c r="E13" s="25">
        <v>24</v>
      </c>
      <c r="F13" s="29">
        <f t="shared" si="0"/>
        <v>33</v>
      </c>
      <c r="G13" s="29">
        <f t="shared" si="1"/>
        <v>23</v>
      </c>
      <c r="H13" s="25">
        <v>2</v>
      </c>
      <c r="I13" s="25">
        <v>11</v>
      </c>
      <c r="J13" s="29">
        <f t="shared" si="4"/>
        <v>50</v>
      </c>
      <c r="K13" s="25">
        <f>I13+J13</f>
        <v>61</v>
      </c>
      <c r="L13" s="29">
        <v>300</v>
      </c>
      <c r="M13" s="29">
        <f t="shared" si="11"/>
        <v>18300</v>
      </c>
      <c r="N13" s="25">
        <v>0</v>
      </c>
      <c r="O13" s="25">
        <v>0</v>
      </c>
      <c r="P13" s="25">
        <v>31</v>
      </c>
      <c r="Q13" s="26">
        <v>12</v>
      </c>
      <c r="R13" s="4"/>
      <c r="S13" s="5">
        <f>K13</f>
        <v>61</v>
      </c>
      <c r="T13" s="5">
        <f>F13*25</f>
        <v>825</v>
      </c>
      <c r="U13" s="5">
        <f t="shared" si="2"/>
        <v>848</v>
      </c>
      <c r="V13" s="5">
        <f>U13-S13</f>
        <v>787</v>
      </c>
      <c r="W13" s="5">
        <f>V13/25</f>
        <v>31.48</v>
      </c>
      <c r="X13" s="5">
        <f t="shared" si="8"/>
        <v>775</v>
      </c>
      <c r="Y13" s="5">
        <f t="shared" si="9"/>
        <v>12</v>
      </c>
      <c r="Z13" s="4">
        <f t="shared" si="10"/>
        <v>0</v>
      </c>
      <c r="AA13" s="4"/>
      <c r="AB13" s="4"/>
    </row>
    <row r="14" spans="1:28" x14ac:dyDescent="0.25">
      <c r="A14" s="27">
        <v>8</v>
      </c>
      <c r="B14" s="28" t="s">
        <v>33</v>
      </c>
      <c r="C14" s="25">
        <v>5</v>
      </c>
      <c r="D14" s="26">
        <v>16</v>
      </c>
      <c r="E14" s="25">
        <v>0</v>
      </c>
      <c r="F14" s="29">
        <f t="shared" si="0"/>
        <v>5</v>
      </c>
      <c r="G14" s="29">
        <f t="shared" si="1"/>
        <v>16</v>
      </c>
      <c r="H14" s="25">
        <v>0</v>
      </c>
      <c r="I14" s="25">
        <v>24</v>
      </c>
      <c r="J14" s="29">
        <f t="shared" si="4"/>
        <v>0</v>
      </c>
      <c r="K14" s="25">
        <f t="shared" si="5"/>
        <v>24</v>
      </c>
      <c r="L14" s="29">
        <v>170</v>
      </c>
      <c r="M14" s="29">
        <f t="shared" si="11"/>
        <v>4080</v>
      </c>
      <c r="N14" s="25">
        <v>0</v>
      </c>
      <c r="O14" s="25">
        <v>0</v>
      </c>
      <c r="P14" s="25">
        <v>4</v>
      </c>
      <c r="Q14" s="26">
        <v>17</v>
      </c>
      <c r="S14" s="5">
        <f t="shared" si="6"/>
        <v>24</v>
      </c>
      <c r="T14" s="5">
        <f t="shared" ref="T14:T63" si="15">F14*25</f>
        <v>125</v>
      </c>
      <c r="U14" s="5">
        <f t="shared" si="2"/>
        <v>141</v>
      </c>
      <c r="V14" s="5">
        <f t="shared" ref="V14:V63" si="16">U14-S14</f>
        <v>117</v>
      </c>
      <c r="W14" s="5">
        <f>V14/25</f>
        <v>4.68</v>
      </c>
      <c r="X14" s="5">
        <f t="shared" si="8"/>
        <v>100</v>
      </c>
      <c r="Y14" s="5">
        <f t="shared" si="9"/>
        <v>17</v>
      </c>
      <c r="Z14" s="4">
        <f t="shared" si="10"/>
        <v>0</v>
      </c>
    </row>
    <row r="15" spans="1:28" x14ac:dyDescent="0.25">
      <c r="A15" s="27">
        <v>9</v>
      </c>
      <c r="B15" s="30" t="s">
        <v>34</v>
      </c>
      <c r="C15" s="25">
        <v>20</v>
      </c>
      <c r="D15" s="26">
        <v>11</v>
      </c>
      <c r="E15" s="25">
        <v>0</v>
      </c>
      <c r="F15" s="29">
        <f t="shared" si="0"/>
        <v>20</v>
      </c>
      <c r="G15" s="29">
        <f t="shared" si="1"/>
        <v>11</v>
      </c>
      <c r="H15" s="25">
        <v>6</v>
      </c>
      <c r="I15" s="25">
        <v>22</v>
      </c>
      <c r="J15" s="29">
        <f t="shared" si="4"/>
        <v>150</v>
      </c>
      <c r="K15" s="25">
        <f t="shared" si="5"/>
        <v>172</v>
      </c>
      <c r="L15" s="29">
        <v>100</v>
      </c>
      <c r="M15" s="29">
        <f>K15*L15</f>
        <v>17200</v>
      </c>
      <c r="N15" s="25">
        <v>0</v>
      </c>
      <c r="O15" s="25">
        <v>0</v>
      </c>
      <c r="P15" s="25">
        <v>13</v>
      </c>
      <c r="Q15" s="26">
        <v>14</v>
      </c>
      <c r="S15" s="5">
        <f t="shared" si="6"/>
        <v>172</v>
      </c>
      <c r="T15" s="5">
        <f t="shared" si="15"/>
        <v>500</v>
      </c>
      <c r="U15" s="5">
        <f t="shared" si="2"/>
        <v>511</v>
      </c>
      <c r="V15" s="5">
        <f t="shared" si="16"/>
        <v>339</v>
      </c>
      <c r="W15" s="5">
        <f t="shared" si="12"/>
        <v>13.56</v>
      </c>
      <c r="X15" s="5">
        <f t="shared" si="8"/>
        <v>325</v>
      </c>
      <c r="Y15" s="5">
        <f t="shared" si="9"/>
        <v>14</v>
      </c>
      <c r="Z15" s="4">
        <f>Q15-Y15</f>
        <v>0</v>
      </c>
    </row>
    <row r="16" spans="1:28" x14ac:dyDescent="0.25">
      <c r="A16" s="23">
        <v>10</v>
      </c>
      <c r="B16" s="30" t="s">
        <v>35</v>
      </c>
      <c r="C16" s="25">
        <v>0</v>
      </c>
      <c r="D16" s="26">
        <v>0</v>
      </c>
      <c r="E16" s="25">
        <v>0</v>
      </c>
      <c r="F16" s="29">
        <f t="shared" si="0"/>
        <v>0</v>
      </c>
      <c r="G16" s="29">
        <f t="shared" si="1"/>
        <v>0</v>
      </c>
      <c r="H16" s="25">
        <v>0</v>
      </c>
      <c r="I16" s="25">
        <v>0</v>
      </c>
      <c r="J16" s="29">
        <f t="shared" si="4"/>
        <v>0</v>
      </c>
      <c r="K16" s="25">
        <f t="shared" si="5"/>
        <v>0</v>
      </c>
      <c r="L16" s="29">
        <v>300</v>
      </c>
      <c r="M16" s="29">
        <f t="shared" si="11"/>
        <v>0</v>
      </c>
      <c r="N16" s="25">
        <v>0</v>
      </c>
      <c r="O16" s="25">
        <v>0</v>
      </c>
      <c r="P16" s="25">
        <v>0</v>
      </c>
      <c r="Q16" s="26">
        <v>0</v>
      </c>
      <c r="S16" s="5">
        <f t="shared" si="6"/>
        <v>0</v>
      </c>
      <c r="T16" s="5">
        <f t="shared" si="15"/>
        <v>0</v>
      </c>
      <c r="U16" s="5">
        <f t="shared" si="2"/>
        <v>0</v>
      </c>
      <c r="V16" s="5">
        <f t="shared" si="16"/>
        <v>0</v>
      </c>
      <c r="W16" s="5">
        <f t="shared" si="12"/>
        <v>0</v>
      </c>
      <c r="X16" s="5">
        <f t="shared" si="8"/>
        <v>0</v>
      </c>
      <c r="Y16" s="5">
        <f t="shared" si="9"/>
        <v>0</v>
      </c>
      <c r="Z16" s="4">
        <f t="shared" si="10"/>
        <v>0</v>
      </c>
    </row>
    <row r="17" spans="1:26" x14ac:dyDescent="0.25">
      <c r="A17" s="27">
        <v>11</v>
      </c>
      <c r="B17" s="30" t="s">
        <v>36</v>
      </c>
      <c r="C17" s="25">
        <v>22</v>
      </c>
      <c r="D17" s="26">
        <v>22</v>
      </c>
      <c r="E17" s="25">
        <v>0</v>
      </c>
      <c r="F17" s="29">
        <f t="shared" si="0"/>
        <v>22</v>
      </c>
      <c r="G17" s="29">
        <f t="shared" si="1"/>
        <v>22</v>
      </c>
      <c r="H17" s="25">
        <v>1</v>
      </c>
      <c r="I17" s="25">
        <v>2</v>
      </c>
      <c r="J17" s="29">
        <f t="shared" si="4"/>
        <v>25</v>
      </c>
      <c r="K17" s="25">
        <f t="shared" si="5"/>
        <v>27</v>
      </c>
      <c r="L17" s="29">
        <v>100</v>
      </c>
      <c r="M17" s="29">
        <f t="shared" si="11"/>
        <v>2700</v>
      </c>
      <c r="N17" s="25">
        <v>0</v>
      </c>
      <c r="O17" s="25">
        <v>0</v>
      </c>
      <c r="P17" s="25">
        <v>21</v>
      </c>
      <c r="Q17" s="26">
        <v>20</v>
      </c>
      <c r="S17" s="5">
        <f t="shared" si="6"/>
        <v>27</v>
      </c>
      <c r="T17" s="5">
        <f t="shared" si="15"/>
        <v>550</v>
      </c>
      <c r="U17" s="5">
        <f t="shared" si="2"/>
        <v>572</v>
      </c>
      <c r="V17" s="5">
        <f t="shared" si="16"/>
        <v>545</v>
      </c>
      <c r="W17" s="5">
        <f t="shared" si="12"/>
        <v>21.8</v>
      </c>
      <c r="X17" s="5">
        <f t="shared" si="8"/>
        <v>525</v>
      </c>
      <c r="Y17" s="5">
        <f t="shared" si="9"/>
        <v>20</v>
      </c>
      <c r="Z17" s="4">
        <f t="shared" si="10"/>
        <v>0</v>
      </c>
    </row>
    <row r="18" spans="1:26" x14ac:dyDescent="0.25">
      <c r="A18" s="27">
        <v>12</v>
      </c>
      <c r="B18" s="30" t="s">
        <v>37</v>
      </c>
      <c r="C18" s="25">
        <v>20</v>
      </c>
      <c r="D18" s="26">
        <v>2</v>
      </c>
      <c r="E18" s="25">
        <v>0</v>
      </c>
      <c r="F18" s="29">
        <f t="shared" si="0"/>
        <v>20</v>
      </c>
      <c r="G18" s="29">
        <f t="shared" si="1"/>
        <v>2</v>
      </c>
      <c r="H18" s="25">
        <v>5</v>
      </c>
      <c r="I18" s="25">
        <v>19</v>
      </c>
      <c r="J18" s="29">
        <f t="shared" si="4"/>
        <v>125</v>
      </c>
      <c r="K18" s="25">
        <f t="shared" si="5"/>
        <v>144</v>
      </c>
      <c r="L18" s="29">
        <v>90</v>
      </c>
      <c r="M18" s="29">
        <f t="shared" si="11"/>
        <v>12960</v>
      </c>
      <c r="N18" s="25">
        <v>0</v>
      </c>
      <c r="O18" s="25">
        <v>0</v>
      </c>
      <c r="P18" s="25">
        <v>14</v>
      </c>
      <c r="Q18" s="26">
        <v>8</v>
      </c>
      <c r="S18" s="5">
        <f t="shared" si="6"/>
        <v>144</v>
      </c>
      <c r="T18" s="5">
        <f t="shared" si="15"/>
        <v>500</v>
      </c>
      <c r="U18" s="5">
        <f t="shared" si="2"/>
        <v>502</v>
      </c>
      <c r="V18" s="5">
        <f t="shared" si="16"/>
        <v>358</v>
      </c>
      <c r="W18" s="5">
        <f t="shared" si="12"/>
        <v>14.32</v>
      </c>
      <c r="X18" s="5">
        <f>P18*25</f>
        <v>350</v>
      </c>
      <c r="Y18" s="5">
        <f>V18-X18</f>
        <v>8</v>
      </c>
      <c r="Z18" s="4">
        <f>Q18-Y18</f>
        <v>0</v>
      </c>
    </row>
    <row r="19" spans="1:26" x14ac:dyDescent="0.25">
      <c r="A19" s="23">
        <v>13</v>
      </c>
      <c r="B19" s="30" t="s">
        <v>38</v>
      </c>
      <c r="C19" s="25">
        <v>17</v>
      </c>
      <c r="D19" s="26">
        <v>3</v>
      </c>
      <c r="E19" s="25">
        <f>24+24</f>
        <v>48</v>
      </c>
      <c r="F19" s="29">
        <f>C19+E19</f>
        <v>65</v>
      </c>
      <c r="G19" s="29">
        <f t="shared" si="1"/>
        <v>3</v>
      </c>
      <c r="H19" s="25">
        <v>24</v>
      </c>
      <c r="I19" s="25">
        <v>23</v>
      </c>
      <c r="J19" s="29">
        <f t="shared" si="4"/>
        <v>600</v>
      </c>
      <c r="K19" s="25">
        <f t="shared" si="5"/>
        <v>623</v>
      </c>
      <c r="L19" s="29">
        <v>110</v>
      </c>
      <c r="M19" s="29">
        <f t="shared" si="11"/>
        <v>68530</v>
      </c>
      <c r="N19" s="25">
        <v>0</v>
      </c>
      <c r="O19" s="25">
        <v>0</v>
      </c>
      <c r="P19" s="25">
        <v>40</v>
      </c>
      <c r="Q19" s="26">
        <v>5</v>
      </c>
      <c r="S19" s="5">
        <f t="shared" si="6"/>
        <v>623</v>
      </c>
      <c r="T19" s="5">
        <f t="shared" si="15"/>
        <v>1625</v>
      </c>
      <c r="U19" s="5">
        <f t="shared" si="2"/>
        <v>1628</v>
      </c>
      <c r="V19" s="5">
        <f t="shared" si="16"/>
        <v>1005</v>
      </c>
      <c r="W19" s="5">
        <f>V19/25</f>
        <v>40.200000000000003</v>
      </c>
      <c r="X19" s="5">
        <f>P19*25</f>
        <v>1000</v>
      </c>
      <c r="Y19" s="5">
        <f t="shared" si="9"/>
        <v>5</v>
      </c>
      <c r="Z19" s="4">
        <f t="shared" si="10"/>
        <v>0</v>
      </c>
    </row>
    <row r="20" spans="1:26" x14ac:dyDescent="0.25">
      <c r="A20" s="27">
        <v>14</v>
      </c>
      <c r="B20" s="30" t="s">
        <v>39</v>
      </c>
      <c r="C20" s="25">
        <v>5</v>
      </c>
      <c r="D20" s="26">
        <v>0</v>
      </c>
      <c r="E20" s="25">
        <v>24</v>
      </c>
      <c r="F20" s="29">
        <f t="shared" si="0"/>
        <v>29</v>
      </c>
      <c r="G20" s="29">
        <f t="shared" si="1"/>
        <v>0</v>
      </c>
      <c r="H20" s="25">
        <v>7</v>
      </c>
      <c r="I20" s="25">
        <v>3</v>
      </c>
      <c r="J20" s="29">
        <f>H20*25</f>
        <v>175</v>
      </c>
      <c r="K20" s="25">
        <f t="shared" si="5"/>
        <v>178</v>
      </c>
      <c r="L20" s="29">
        <v>170</v>
      </c>
      <c r="M20" s="29">
        <f t="shared" si="11"/>
        <v>30260</v>
      </c>
      <c r="N20" s="25">
        <v>0</v>
      </c>
      <c r="O20" s="25">
        <v>0</v>
      </c>
      <c r="P20" s="25">
        <v>21</v>
      </c>
      <c r="Q20" s="26">
        <v>22</v>
      </c>
      <c r="S20" s="5">
        <f t="shared" si="6"/>
        <v>178</v>
      </c>
      <c r="T20" s="5">
        <f t="shared" si="15"/>
        <v>725</v>
      </c>
      <c r="U20" s="5">
        <f t="shared" si="2"/>
        <v>725</v>
      </c>
      <c r="V20" s="5">
        <f t="shared" si="16"/>
        <v>547</v>
      </c>
      <c r="W20" s="5">
        <f t="shared" si="12"/>
        <v>21.88</v>
      </c>
      <c r="X20" s="5">
        <f t="shared" si="8"/>
        <v>525</v>
      </c>
      <c r="Y20" s="5">
        <f t="shared" si="9"/>
        <v>22</v>
      </c>
      <c r="Z20" s="4">
        <f t="shared" si="10"/>
        <v>0</v>
      </c>
    </row>
    <row r="21" spans="1:26" x14ac:dyDescent="0.25">
      <c r="A21" s="27">
        <v>15</v>
      </c>
      <c r="B21" s="28" t="s">
        <v>40</v>
      </c>
      <c r="C21" s="25">
        <v>4</v>
      </c>
      <c r="D21" s="26">
        <v>24</v>
      </c>
      <c r="E21" s="25">
        <v>2</v>
      </c>
      <c r="F21" s="29">
        <f t="shared" si="0"/>
        <v>6</v>
      </c>
      <c r="G21" s="29">
        <f t="shared" si="1"/>
        <v>24</v>
      </c>
      <c r="H21" s="25">
        <v>0</v>
      </c>
      <c r="I21" s="25">
        <v>19</v>
      </c>
      <c r="J21" s="29">
        <f>H21*25</f>
        <v>0</v>
      </c>
      <c r="K21" s="25">
        <f>I21+J21</f>
        <v>19</v>
      </c>
      <c r="L21" s="29">
        <v>280</v>
      </c>
      <c r="M21" s="29">
        <f t="shared" si="11"/>
        <v>5320</v>
      </c>
      <c r="N21" s="25">
        <v>0</v>
      </c>
      <c r="O21" s="25">
        <v>0</v>
      </c>
      <c r="P21" s="25">
        <v>6</v>
      </c>
      <c r="Q21" s="26">
        <v>5</v>
      </c>
      <c r="S21" s="5">
        <f t="shared" si="6"/>
        <v>19</v>
      </c>
      <c r="T21" s="5">
        <f t="shared" si="15"/>
        <v>150</v>
      </c>
      <c r="U21" s="5">
        <f t="shared" si="2"/>
        <v>174</v>
      </c>
      <c r="V21" s="5">
        <f t="shared" si="16"/>
        <v>155</v>
      </c>
      <c r="W21" s="5">
        <f t="shared" si="12"/>
        <v>6.2</v>
      </c>
      <c r="X21" s="5">
        <f t="shared" si="8"/>
        <v>150</v>
      </c>
      <c r="Y21" s="5">
        <f>V21-X21</f>
        <v>5</v>
      </c>
      <c r="Z21" s="4">
        <f t="shared" si="10"/>
        <v>0</v>
      </c>
    </row>
    <row r="22" spans="1:26" x14ac:dyDescent="0.25">
      <c r="A22" s="23">
        <v>16</v>
      </c>
      <c r="B22" s="30" t="s">
        <v>41</v>
      </c>
      <c r="C22" s="25">
        <v>1</v>
      </c>
      <c r="D22" s="26">
        <v>6</v>
      </c>
      <c r="E22" s="25">
        <v>0</v>
      </c>
      <c r="F22" s="29">
        <f t="shared" si="0"/>
        <v>1</v>
      </c>
      <c r="G22" s="29">
        <f t="shared" si="1"/>
        <v>6</v>
      </c>
      <c r="H22" s="25">
        <v>0</v>
      </c>
      <c r="I22" s="25">
        <v>0</v>
      </c>
      <c r="J22" s="29">
        <f t="shared" si="4"/>
        <v>0</v>
      </c>
      <c r="K22" s="25">
        <f t="shared" si="5"/>
        <v>0</v>
      </c>
      <c r="L22" s="29">
        <v>320</v>
      </c>
      <c r="M22" s="29">
        <f t="shared" si="11"/>
        <v>0</v>
      </c>
      <c r="N22" s="25">
        <v>0</v>
      </c>
      <c r="O22" s="25">
        <v>0</v>
      </c>
      <c r="P22" s="25">
        <v>1</v>
      </c>
      <c r="Q22" s="26">
        <v>6</v>
      </c>
      <c r="S22" s="5">
        <f t="shared" si="6"/>
        <v>0</v>
      </c>
      <c r="T22" s="5">
        <f t="shared" si="15"/>
        <v>25</v>
      </c>
      <c r="U22" s="5">
        <f t="shared" si="2"/>
        <v>31</v>
      </c>
      <c r="V22" s="5">
        <f t="shared" si="16"/>
        <v>31</v>
      </c>
      <c r="W22" s="5">
        <f t="shared" si="12"/>
        <v>1.24</v>
      </c>
      <c r="X22" s="5">
        <f>P22*25</f>
        <v>25</v>
      </c>
      <c r="Y22" s="5">
        <f t="shared" si="9"/>
        <v>6</v>
      </c>
      <c r="Z22" s="4">
        <f t="shared" si="10"/>
        <v>0</v>
      </c>
    </row>
    <row r="23" spans="1:26" x14ac:dyDescent="0.25">
      <c r="A23" s="27">
        <v>17</v>
      </c>
      <c r="B23" s="30" t="s">
        <v>42</v>
      </c>
      <c r="C23" s="25">
        <v>5</v>
      </c>
      <c r="D23" s="26">
        <v>5</v>
      </c>
      <c r="E23" s="25">
        <v>0</v>
      </c>
      <c r="F23" s="29">
        <f t="shared" si="0"/>
        <v>5</v>
      </c>
      <c r="G23" s="29">
        <f t="shared" si="1"/>
        <v>5</v>
      </c>
      <c r="H23" s="25">
        <v>0</v>
      </c>
      <c r="I23" s="25">
        <v>13</v>
      </c>
      <c r="J23" s="29">
        <f t="shared" si="4"/>
        <v>0</v>
      </c>
      <c r="K23" s="25">
        <f t="shared" si="5"/>
        <v>13</v>
      </c>
      <c r="L23" s="29">
        <v>340</v>
      </c>
      <c r="M23" s="29">
        <f t="shared" si="11"/>
        <v>4420</v>
      </c>
      <c r="N23" s="25">
        <v>0</v>
      </c>
      <c r="O23" s="25">
        <v>0</v>
      </c>
      <c r="P23" s="25">
        <v>4</v>
      </c>
      <c r="Q23" s="26">
        <v>17</v>
      </c>
      <c r="S23" s="5">
        <f t="shared" si="6"/>
        <v>13</v>
      </c>
      <c r="T23" s="5">
        <f t="shared" si="15"/>
        <v>125</v>
      </c>
      <c r="U23" s="5">
        <f t="shared" si="2"/>
        <v>130</v>
      </c>
      <c r="V23" s="5">
        <f t="shared" si="16"/>
        <v>117</v>
      </c>
      <c r="W23" s="5">
        <f t="shared" si="12"/>
        <v>4.68</v>
      </c>
      <c r="X23" s="5">
        <f t="shared" si="8"/>
        <v>100</v>
      </c>
      <c r="Y23" s="5">
        <f t="shared" si="9"/>
        <v>17</v>
      </c>
      <c r="Z23" s="4">
        <f t="shared" si="10"/>
        <v>0</v>
      </c>
    </row>
    <row r="24" spans="1:26" x14ac:dyDescent="0.25">
      <c r="A24" s="27">
        <v>18</v>
      </c>
      <c r="B24" s="30" t="s">
        <v>43</v>
      </c>
      <c r="C24" s="25">
        <v>0</v>
      </c>
      <c r="D24" s="26">
        <v>24</v>
      </c>
      <c r="E24" s="25">
        <v>0</v>
      </c>
      <c r="F24" s="29">
        <f t="shared" si="0"/>
        <v>0</v>
      </c>
      <c r="G24" s="29">
        <f t="shared" si="1"/>
        <v>24</v>
      </c>
      <c r="H24" s="25">
        <v>0</v>
      </c>
      <c r="I24" s="25">
        <v>0</v>
      </c>
      <c r="J24" s="29">
        <f t="shared" si="4"/>
        <v>0</v>
      </c>
      <c r="K24" s="25">
        <f t="shared" si="5"/>
        <v>0</v>
      </c>
      <c r="L24" s="29">
        <v>280</v>
      </c>
      <c r="M24" s="29">
        <f t="shared" si="11"/>
        <v>0</v>
      </c>
      <c r="N24" s="25">
        <v>0</v>
      </c>
      <c r="O24" s="25">
        <v>0</v>
      </c>
      <c r="P24" s="25">
        <v>0</v>
      </c>
      <c r="Q24" s="26">
        <v>24</v>
      </c>
      <c r="S24" s="5">
        <f t="shared" si="6"/>
        <v>0</v>
      </c>
      <c r="T24" s="5">
        <f t="shared" si="15"/>
        <v>0</v>
      </c>
      <c r="U24" s="5">
        <f t="shared" si="2"/>
        <v>24</v>
      </c>
      <c r="V24" s="5">
        <f t="shared" si="16"/>
        <v>24</v>
      </c>
      <c r="W24" s="5">
        <f t="shared" si="12"/>
        <v>0.96</v>
      </c>
      <c r="X24" s="5">
        <f t="shared" si="8"/>
        <v>0</v>
      </c>
      <c r="Y24" s="5">
        <f t="shared" si="9"/>
        <v>24</v>
      </c>
      <c r="Z24" s="4">
        <f t="shared" si="10"/>
        <v>0</v>
      </c>
    </row>
    <row r="25" spans="1:26" x14ac:dyDescent="0.25">
      <c r="A25" s="23">
        <v>19</v>
      </c>
      <c r="B25" s="30" t="s">
        <v>44</v>
      </c>
      <c r="C25" s="25">
        <v>3</v>
      </c>
      <c r="D25" s="26">
        <v>13</v>
      </c>
      <c r="E25" s="25">
        <v>4</v>
      </c>
      <c r="F25" s="29">
        <f t="shared" si="0"/>
        <v>7</v>
      </c>
      <c r="G25" s="29">
        <f t="shared" si="1"/>
        <v>13</v>
      </c>
      <c r="H25" s="25">
        <v>1</v>
      </c>
      <c r="I25" s="25">
        <v>5</v>
      </c>
      <c r="J25" s="29">
        <f t="shared" si="4"/>
        <v>25</v>
      </c>
      <c r="K25" s="25">
        <f t="shared" si="5"/>
        <v>30</v>
      </c>
      <c r="L25" s="29">
        <v>170</v>
      </c>
      <c r="M25" s="29">
        <f t="shared" si="11"/>
        <v>5100</v>
      </c>
      <c r="N25" s="25">
        <v>0</v>
      </c>
      <c r="O25" s="25">
        <v>0</v>
      </c>
      <c r="P25" s="25">
        <v>6</v>
      </c>
      <c r="Q25" s="26">
        <v>8</v>
      </c>
      <c r="S25" s="5">
        <f t="shared" si="6"/>
        <v>30</v>
      </c>
      <c r="T25" s="5">
        <f t="shared" si="15"/>
        <v>175</v>
      </c>
      <c r="U25" s="5">
        <f t="shared" si="2"/>
        <v>188</v>
      </c>
      <c r="V25" s="5">
        <f t="shared" si="16"/>
        <v>158</v>
      </c>
      <c r="W25" s="5">
        <f>V25/25</f>
        <v>6.32</v>
      </c>
      <c r="X25" s="5">
        <f>P25*25</f>
        <v>150</v>
      </c>
      <c r="Y25" s="5">
        <f t="shared" si="9"/>
        <v>8</v>
      </c>
      <c r="Z25" s="4">
        <f t="shared" si="10"/>
        <v>0</v>
      </c>
    </row>
    <row r="26" spans="1:26" x14ac:dyDescent="0.25">
      <c r="A26" s="27">
        <v>20</v>
      </c>
      <c r="B26" s="30" t="s">
        <v>45</v>
      </c>
      <c r="C26" s="25">
        <v>2</v>
      </c>
      <c r="D26" s="26">
        <v>20</v>
      </c>
      <c r="E26" s="25">
        <v>0</v>
      </c>
      <c r="F26" s="29">
        <f t="shared" si="0"/>
        <v>2</v>
      </c>
      <c r="G26" s="29">
        <f t="shared" si="1"/>
        <v>20</v>
      </c>
      <c r="H26" s="25">
        <v>0</v>
      </c>
      <c r="I26" s="25">
        <v>0</v>
      </c>
      <c r="J26" s="29">
        <v>0</v>
      </c>
      <c r="K26" s="25">
        <f t="shared" si="5"/>
        <v>0</v>
      </c>
      <c r="L26" s="29">
        <v>350</v>
      </c>
      <c r="M26" s="29">
        <f t="shared" si="11"/>
        <v>0</v>
      </c>
      <c r="N26" s="25">
        <v>0</v>
      </c>
      <c r="O26" s="25">
        <v>0</v>
      </c>
      <c r="P26" s="25">
        <v>2</v>
      </c>
      <c r="Q26" s="26">
        <v>20</v>
      </c>
      <c r="S26" s="5">
        <f t="shared" si="6"/>
        <v>0</v>
      </c>
      <c r="T26" s="5">
        <f t="shared" si="15"/>
        <v>50</v>
      </c>
      <c r="U26" s="5">
        <f t="shared" si="2"/>
        <v>70</v>
      </c>
      <c r="V26" s="5">
        <f t="shared" si="16"/>
        <v>70</v>
      </c>
      <c r="W26" s="5">
        <f>V26/25</f>
        <v>2.8</v>
      </c>
      <c r="X26" s="5">
        <f>P26*25</f>
        <v>50</v>
      </c>
      <c r="Y26" s="5">
        <f>V26-X26</f>
        <v>20</v>
      </c>
      <c r="Z26" s="4">
        <f>Q26-Y26</f>
        <v>0</v>
      </c>
    </row>
    <row r="27" spans="1:26" x14ac:dyDescent="0.25">
      <c r="A27" s="27">
        <v>21</v>
      </c>
      <c r="B27" s="30" t="s">
        <v>46</v>
      </c>
      <c r="C27" s="25">
        <v>1</v>
      </c>
      <c r="D27" s="26">
        <v>1</v>
      </c>
      <c r="E27" s="25">
        <v>0</v>
      </c>
      <c r="F27" s="29">
        <f t="shared" si="0"/>
        <v>1</v>
      </c>
      <c r="G27" s="29">
        <f t="shared" si="1"/>
        <v>1</v>
      </c>
      <c r="H27" s="25">
        <v>0</v>
      </c>
      <c r="I27" s="25">
        <v>0</v>
      </c>
      <c r="J27" s="29">
        <v>0</v>
      </c>
      <c r="K27" s="25">
        <f t="shared" si="5"/>
        <v>0</v>
      </c>
      <c r="L27" s="29">
        <v>600</v>
      </c>
      <c r="M27" s="29">
        <f>K27*L27</f>
        <v>0</v>
      </c>
      <c r="N27" s="25">
        <v>0</v>
      </c>
      <c r="O27" s="25">
        <v>0</v>
      </c>
      <c r="P27" s="25">
        <v>1</v>
      </c>
      <c r="Q27" s="26">
        <v>1</v>
      </c>
      <c r="S27" s="5">
        <f t="shared" si="6"/>
        <v>0</v>
      </c>
      <c r="T27" s="5">
        <f t="shared" si="15"/>
        <v>25</v>
      </c>
      <c r="U27" s="5">
        <f t="shared" si="2"/>
        <v>26</v>
      </c>
      <c r="V27" s="5">
        <f t="shared" si="16"/>
        <v>26</v>
      </c>
      <c r="W27" s="5">
        <f>V27/25</f>
        <v>1.04</v>
      </c>
      <c r="X27" s="5">
        <f>P27*25</f>
        <v>25</v>
      </c>
      <c r="Y27" s="5">
        <f>V27-X27</f>
        <v>1</v>
      </c>
      <c r="Z27" s="4">
        <f>Q27-Y27</f>
        <v>0</v>
      </c>
    </row>
    <row r="28" spans="1:26" x14ac:dyDescent="0.25">
      <c r="A28" s="23">
        <v>22</v>
      </c>
      <c r="B28" s="30" t="s">
        <v>47</v>
      </c>
      <c r="C28" s="25">
        <v>3</v>
      </c>
      <c r="D28" s="26">
        <v>13</v>
      </c>
      <c r="E28" s="25">
        <v>2</v>
      </c>
      <c r="F28" s="29">
        <f t="shared" si="0"/>
        <v>5</v>
      </c>
      <c r="G28" s="29">
        <f t="shared" si="1"/>
        <v>13</v>
      </c>
      <c r="H28" s="25">
        <v>0</v>
      </c>
      <c r="I28" s="25">
        <v>21</v>
      </c>
      <c r="J28" s="29">
        <f t="shared" si="4"/>
        <v>0</v>
      </c>
      <c r="K28" s="25">
        <f t="shared" si="5"/>
        <v>21</v>
      </c>
      <c r="L28" s="29">
        <v>250</v>
      </c>
      <c r="M28" s="29">
        <f t="shared" si="11"/>
        <v>5250</v>
      </c>
      <c r="N28" s="25">
        <v>0</v>
      </c>
      <c r="O28" s="25">
        <v>0</v>
      </c>
      <c r="P28" s="25">
        <v>4</v>
      </c>
      <c r="Q28" s="26">
        <v>17</v>
      </c>
      <c r="S28" s="5">
        <f t="shared" si="6"/>
        <v>21</v>
      </c>
      <c r="T28" s="5">
        <f t="shared" si="15"/>
        <v>125</v>
      </c>
      <c r="U28" s="5">
        <f t="shared" si="2"/>
        <v>138</v>
      </c>
      <c r="V28" s="5">
        <f t="shared" si="16"/>
        <v>117</v>
      </c>
      <c r="W28" s="5">
        <f t="shared" si="12"/>
        <v>4.68</v>
      </c>
      <c r="X28" s="5">
        <f t="shared" si="8"/>
        <v>100</v>
      </c>
      <c r="Y28" s="5">
        <f>V28-X28</f>
        <v>17</v>
      </c>
      <c r="Z28" s="4">
        <f t="shared" si="10"/>
        <v>0</v>
      </c>
    </row>
    <row r="29" spans="1:26" x14ac:dyDescent="0.25">
      <c r="A29" s="27">
        <v>23</v>
      </c>
      <c r="B29" s="28" t="s">
        <v>48</v>
      </c>
      <c r="C29" s="25">
        <v>0</v>
      </c>
      <c r="D29" s="26">
        <v>0</v>
      </c>
      <c r="E29" s="25">
        <v>0</v>
      </c>
      <c r="F29" s="29">
        <f t="shared" si="0"/>
        <v>0</v>
      </c>
      <c r="G29" s="29">
        <f t="shared" si="1"/>
        <v>0</v>
      </c>
      <c r="H29" s="25">
        <v>0</v>
      </c>
      <c r="I29" s="25">
        <v>0</v>
      </c>
      <c r="J29" s="29">
        <f>H29*25</f>
        <v>0</v>
      </c>
      <c r="K29" s="25">
        <f t="shared" si="5"/>
        <v>0</v>
      </c>
      <c r="L29" s="29">
        <v>80</v>
      </c>
      <c r="M29" s="29">
        <f t="shared" si="11"/>
        <v>0</v>
      </c>
      <c r="N29" s="25">
        <v>0</v>
      </c>
      <c r="O29" s="25">
        <v>0</v>
      </c>
      <c r="P29" s="25">
        <v>0</v>
      </c>
      <c r="Q29" s="26">
        <v>0</v>
      </c>
      <c r="S29" s="5">
        <f t="shared" si="6"/>
        <v>0</v>
      </c>
      <c r="T29" s="5">
        <f t="shared" si="15"/>
        <v>0</v>
      </c>
      <c r="U29" s="5">
        <f t="shared" si="2"/>
        <v>0</v>
      </c>
      <c r="V29" s="5">
        <f>U29-S29</f>
        <v>0</v>
      </c>
      <c r="W29" s="5">
        <f>V29/25</f>
        <v>0</v>
      </c>
      <c r="X29" s="5">
        <f t="shared" si="8"/>
        <v>0</v>
      </c>
      <c r="Y29" s="5">
        <f t="shared" si="9"/>
        <v>0</v>
      </c>
      <c r="Z29" s="4">
        <f>Q29-Y29</f>
        <v>0</v>
      </c>
    </row>
    <row r="30" spans="1:26" x14ac:dyDescent="0.25">
      <c r="A30" s="27">
        <v>24</v>
      </c>
      <c r="B30" s="28" t="s">
        <v>49</v>
      </c>
      <c r="C30" s="25">
        <v>3</v>
      </c>
      <c r="D30" s="26">
        <v>0</v>
      </c>
      <c r="E30" s="25">
        <v>0</v>
      </c>
      <c r="F30" s="29">
        <f t="shared" si="0"/>
        <v>3</v>
      </c>
      <c r="G30" s="29">
        <f t="shared" si="1"/>
        <v>0</v>
      </c>
      <c r="H30" s="25">
        <v>0</v>
      </c>
      <c r="I30" s="25">
        <v>0</v>
      </c>
      <c r="J30" s="29">
        <f>H30*25</f>
        <v>0</v>
      </c>
      <c r="K30" s="25">
        <f t="shared" si="5"/>
        <v>0</v>
      </c>
      <c r="L30" s="29">
        <v>70</v>
      </c>
      <c r="M30" s="29">
        <f t="shared" si="11"/>
        <v>0</v>
      </c>
      <c r="N30" s="25">
        <v>0</v>
      </c>
      <c r="O30" s="25">
        <v>0</v>
      </c>
      <c r="P30" s="25">
        <v>3</v>
      </c>
      <c r="Q30" s="26">
        <v>0</v>
      </c>
      <c r="T30" s="5">
        <f t="shared" si="15"/>
        <v>75</v>
      </c>
      <c r="U30" s="5">
        <f t="shared" si="2"/>
        <v>75</v>
      </c>
      <c r="V30" s="5">
        <f>U30-S30</f>
        <v>75</v>
      </c>
      <c r="W30" s="5">
        <f>V30/25</f>
        <v>3</v>
      </c>
      <c r="X30" s="5">
        <f t="shared" si="8"/>
        <v>75</v>
      </c>
      <c r="Y30" s="5">
        <f t="shared" si="9"/>
        <v>0</v>
      </c>
      <c r="Z30" s="4">
        <f>Q30-Y30</f>
        <v>0</v>
      </c>
    </row>
    <row r="31" spans="1:26" x14ac:dyDescent="0.25">
      <c r="A31" s="23">
        <v>25</v>
      </c>
      <c r="B31" s="28" t="s">
        <v>50</v>
      </c>
      <c r="C31" s="25">
        <v>7</v>
      </c>
      <c r="D31" s="26">
        <v>21</v>
      </c>
      <c r="E31" s="25">
        <v>0</v>
      </c>
      <c r="F31" s="29">
        <f t="shared" si="0"/>
        <v>7</v>
      </c>
      <c r="G31" s="29">
        <f t="shared" si="1"/>
        <v>21</v>
      </c>
      <c r="H31" s="25">
        <v>0</v>
      </c>
      <c r="I31" s="25">
        <v>0</v>
      </c>
      <c r="J31" s="29">
        <f t="shared" si="4"/>
        <v>0</v>
      </c>
      <c r="K31" s="25">
        <f t="shared" si="5"/>
        <v>0</v>
      </c>
      <c r="L31" s="29">
        <v>600</v>
      </c>
      <c r="M31" s="29">
        <f t="shared" si="11"/>
        <v>0</v>
      </c>
      <c r="N31" s="25">
        <v>0</v>
      </c>
      <c r="O31" s="25">
        <v>0</v>
      </c>
      <c r="P31" s="25">
        <v>7</v>
      </c>
      <c r="Q31" s="26">
        <v>21</v>
      </c>
      <c r="S31" s="5">
        <f t="shared" si="6"/>
        <v>0</v>
      </c>
      <c r="T31" s="5">
        <f t="shared" si="15"/>
        <v>175</v>
      </c>
      <c r="U31" s="5">
        <f t="shared" si="2"/>
        <v>196</v>
      </c>
      <c r="V31" s="5">
        <f t="shared" si="16"/>
        <v>196</v>
      </c>
      <c r="W31" s="5">
        <f t="shared" si="12"/>
        <v>7.84</v>
      </c>
      <c r="X31" s="5">
        <f t="shared" si="8"/>
        <v>175</v>
      </c>
      <c r="Y31" s="5">
        <f>V31-X31</f>
        <v>21</v>
      </c>
      <c r="Z31" s="4">
        <f t="shared" si="10"/>
        <v>0</v>
      </c>
    </row>
    <row r="32" spans="1:26" x14ac:dyDescent="0.25">
      <c r="A32" s="27">
        <v>26</v>
      </c>
      <c r="B32" s="30" t="s">
        <v>51</v>
      </c>
      <c r="C32" s="25">
        <v>6</v>
      </c>
      <c r="D32" s="26">
        <v>24</v>
      </c>
      <c r="E32" s="25">
        <v>6</v>
      </c>
      <c r="F32" s="29">
        <f t="shared" si="0"/>
        <v>12</v>
      </c>
      <c r="G32" s="29">
        <f t="shared" si="1"/>
        <v>24</v>
      </c>
      <c r="H32" s="25">
        <v>2</v>
      </c>
      <c r="I32" s="25">
        <v>5</v>
      </c>
      <c r="J32" s="29">
        <f t="shared" si="4"/>
        <v>50</v>
      </c>
      <c r="K32" s="25">
        <f t="shared" si="5"/>
        <v>55</v>
      </c>
      <c r="L32" s="29">
        <v>150</v>
      </c>
      <c r="M32" s="29">
        <f t="shared" si="11"/>
        <v>8250</v>
      </c>
      <c r="N32" s="25">
        <v>0</v>
      </c>
      <c r="O32" s="25">
        <v>0</v>
      </c>
      <c r="P32" s="25">
        <v>10</v>
      </c>
      <c r="Q32" s="26">
        <v>19</v>
      </c>
      <c r="S32" s="5">
        <f t="shared" si="6"/>
        <v>55</v>
      </c>
      <c r="T32" s="5">
        <f t="shared" si="15"/>
        <v>300</v>
      </c>
      <c r="U32" s="5">
        <f t="shared" si="2"/>
        <v>324</v>
      </c>
      <c r="V32" s="5">
        <f t="shared" si="16"/>
        <v>269</v>
      </c>
      <c r="W32" s="5">
        <f t="shared" si="12"/>
        <v>10.76</v>
      </c>
      <c r="X32" s="5">
        <f t="shared" si="8"/>
        <v>250</v>
      </c>
      <c r="Y32" s="5">
        <f t="shared" si="9"/>
        <v>19</v>
      </c>
      <c r="Z32" s="4">
        <f t="shared" si="10"/>
        <v>0</v>
      </c>
    </row>
    <row r="33" spans="1:26" x14ac:dyDescent="0.25">
      <c r="A33" s="27">
        <v>27</v>
      </c>
      <c r="B33" s="30" t="s">
        <v>52</v>
      </c>
      <c r="C33" s="25">
        <v>3</v>
      </c>
      <c r="D33" s="26">
        <v>10</v>
      </c>
      <c r="E33" s="25">
        <v>0</v>
      </c>
      <c r="F33" s="29">
        <f t="shared" si="0"/>
        <v>3</v>
      </c>
      <c r="G33" s="29">
        <f t="shared" si="1"/>
        <v>10</v>
      </c>
      <c r="H33" s="25">
        <v>0</v>
      </c>
      <c r="I33" s="25">
        <v>5</v>
      </c>
      <c r="J33" s="29">
        <f t="shared" si="4"/>
        <v>0</v>
      </c>
      <c r="K33" s="25">
        <f>I33+J33</f>
        <v>5</v>
      </c>
      <c r="L33" s="29">
        <v>110</v>
      </c>
      <c r="M33" s="29">
        <f t="shared" si="11"/>
        <v>550</v>
      </c>
      <c r="N33" s="25">
        <v>0</v>
      </c>
      <c r="O33" s="25">
        <v>0</v>
      </c>
      <c r="P33" s="25">
        <v>3</v>
      </c>
      <c r="Q33" s="26">
        <v>5</v>
      </c>
      <c r="S33" s="5">
        <f t="shared" si="6"/>
        <v>5</v>
      </c>
      <c r="T33" s="5">
        <f t="shared" si="15"/>
        <v>75</v>
      </c>
      <c r="U33" s="5">
        <f t="shared" si="2"/>
        <v>85</v>
      </c>
      <c r="V33" s="5">
        <f t="shared" si="16"/>
        <v>80</v>
      </c>
      <c r="W33" s="5">
        <f>V33/25</f>
        <v>3.2</v>
      </c>
      <c r="X33" s="5">
        <f t="shared" si="8"/>
        <v>75</v>
      </c>
      <c r="Y33" s="5">
        <f t="shared" si="9"/>
        <v>5</v>
      </c>
      <c r="Z33" s="4">
        <f>Q33-Y33</f>
        <v>0</v>
      </c>
    </row>
    <row r="34" spans="1:26" x14ac:dyDescent="0.25">
      <c r="A34" s="23">
        <v>28</v>
      </c>
      <c r="B34" s="30" t="s">
        <v>53</v>
      </c>
      <c r="C34" s="25">
        <v>1</v>
      </c>
      <c r="D34" s="26">
        <v>0</v>
      </c>
      <c r="E34" s="25">
        <v>0</v>
      </c>
      <c r="F34" s="29">
        <f t="shared" si="0"/>
        <v>1</v>
      </c>
      <c r="G34" s="29">
        <f t="shared" si="1"/>
        <v>0</v>
      </c>
      <c r="H34" s="25">
        <v>0</v>
      </c>
      <c r="I34" s="25">
        <v>0</v>
      </c>
      <c r="J34" s="29">
        <f t="shared" si="4"/>
        <v>0</v>
      </c>
      <c r="K34" s="25">
        <f t="shared" si="5"/>
        <v>0</v>
      </c>
      <c r="L34" s="29">
        <v>110</v>
      </c>
      <c r="M34" s="29">
        <f t="shared" si="11"/>
        <v>0</v>
      </c>
      <c r="N34" s="25">
        <v>0</v>
      </c>
      <c r="O34" s="25">
        <v>0</v>
      </c>
      <c r="P34" s="25">
        <v>1</v>
      </c>
      <c r="Q34" s="26">
        <v>0</v>
      </c>
      <c r="S34" s="5">
        <f t="shared" si="6"/>
        <v>0</v>
      </c>
      <c r="T34" s="5">
        <f t="shared" si="15"/>
        <v>25</v>
      </c>
      <c r="U34" s="5">
        <f t="shared" si="2"/>
        <v>25</v>
      </c>
      <c r="V34" s="5">
        <f t="shared" si="16"/>
        <v>25</v>
      </c>
      <c r="W34" s="5">
        <f t="shared" si="12"/>
        <v>1</v>
      </c>
      <c r="X34" s="5">
        <f t="shared" si="8"/>
        <v>25</v>
      </c>
      <c r="Y34" s="5">
        <f>V34-X34</f>
        <v>0</v>
      </c>
      <c r="Z34" s="4">
        <f>Q34-Y34</f>
        <v>0</v>
      </c>
    </row>
    <row r="35" spans="1:26" x14ac:dyDescent="0.25">
      <c r="A35" s="27">
        <v>29</v>
      </c>
      <c r="B35" s="30" t="s">
        <v>54</v>
      </c>
      <c r="C35" s="25">
        <v>0</v>
      </c>
      <c r="D35" s="26">
        <v>0</v>
      </c>
      <c r="E35" s="25">
        <v>0</v>
      </c>
      <c r="F35" s="29">
        <f t="shared" si="0"/>
        <v>0</v>
      </c>
      <c r="G35" s="29">
        <f t="shared" si="1"/>
        <v>0</v>
      </c>
      <c r="H35" s="25">
        <v>0</v>
      </c>
      <c r="I35" s="25">
        <v>0</v>
      </c>
      <c r="J35" s="29">
        <f t="shared" si="4"/>
        <v>0</v>
      </c>
      <c r="K35" s="25">
        <f t="shared" si="5"/>
        <v>0</v>
      </c>
      <c r="L35" s="29">
        <v>110</v>
      </c>
      <c r="M35" s="29">
        <f t="shared" si="11"/>
        <v>0</v>
      </c>
      <c r="N35" s="25">
        <v>0</v>
      </c>
      <c r="O35" s="25">
        <v>0</v>
      </c>
      <c r="P35" s="25">
        <v>0</v>
      </c>
      <c r="Q35" s="26">
        <v>0</v>
      </c>
      <c r="S35" s="5">
        <f t="shared" si="6"/>
        <v>0</v>
      </c>
      <c r="T35" s="5">
        <f t="shared" si="15"/>
        <v>0</v>
      </c>
      <c r="U35" s="5">
        <f t="shared" si="2"/>
        <v>0</v>
      </c>
      <c r="V35" s="5">
        <f t="shared" si="16"/>
        <v>0</v>
      </c>
      <c r="W35" s="5">
        <f t="shared" si="12"/>
        <v>0</v>
      </c>
      <c r="X35" s="5">
        <f t="shared" si="8"/>
        <v>0</v>
      </c>
      <c r="Y35" s="5">
        <f t="shared" si="9"/>
        <v>0</v>
      </c>
      <c r="Z35" s="4">
        <f t="shared" si="10"/>
        <v>0</v>
      </c>
    </row>
    <row r="36" spans="1:26" x14ac:dyDescent="0.25">
      <c r="A36" s="27">
        <v>30</v>
      </c>
      <c r="B36" s="28" t="s">
        <v>55</v>
      </c>
      <c r="C36" s="25">
        <v>0</v>
      </c>
      <c r="D36" s="26">
        <v>0</v>
      </c>
      <c r="E36" s="25">
        <v>0</v>
      </c>
      <c r="F36" s="29">
        <f t="shared" si="0"/>
        <v>0</v>
      </c>
      <c r="G36" s="29">
        <f t="shared" si="1"/>
        <v>0</v>
      </c>
      <c r="H36" s="25">
        <v>0</v>
      </c>
      <c r="I36" s="25">
        <v>0</v>
      </c>
      <c r="J36" s="29">
        <f t="shared" si="4"/>
        <v>0</v>
      </c>
      <c r="K36" s="25">
        <f t="shared" si="5"/>
        <v>0</v>
      </c>
      <c r="L36" s="29">
        <v>320</v>
      </c>
      <c r="M36" s="29">
        <f t="shared" si="11"/>
        <v>0</v>
      </c>
      <c r="N36" s="25">
        <v>0</v>
      </c>
      <c r="O36" s="25">
        <v>0</v>
      </c>
      <c r="P36" s="25">
        <v>0</v>
      </c>
      <c r="Q36" s="26">
        <v>0</v>
      </c>
      <c r="S36" s="5">
        <f t="shared" si="6"/>
        <v>0</v>
      </c>
      <c r="T36" s="5">
        <f t="shared" si="15"/>
        <v>0</v>
      </c>
      <c r="U36" s="5">
        <f t="shared" si="2"/>
        <v>0</v>
      </c>
      <c r="V36" s="5">
        <f t="shared" si="16"/>
        <v>0</v>
      </c>
      <c r="W36" s="5">
        <f>V36/25</f>
        <v>0</v>
      </c>
      <c r="X36" s="5">
        <f t="shared" si="8"/>
        <v>0</v>
      </c>
      <c r="Y36" s="5">
        <f>V36-X36</f>
        <v>0</v>
      </c>
      <c r="Z36" s="4">
        <f>Q36-Y36</f>
        <v>0</v>
      </c>
    </row>
    <row r="37" spans="1:26" x14ac:dyDescent="0.25">
      <c r="A37" s="23">
        <v>31</v>
      </c>
      <c r="B37" s="28" t="s">
        <v>56</v>
      </c>
      <c r="C37" s="25">
        <v>0</v>
      </c>
      <c r="D37" s="26">
        <v>0</v>
      </c>
      <c r="E37" s="25">
        <v>0</v>
      </c>
      <c r="F37" s="29">
        <f t="shared" si="0"/>
        <v>0</v>
      </c>
      <c r="G37" s="29">
        <f t="shared" si="1"/>
        <v>0</v>
      </c>
      <c r="H37" s="25">
        <v>0</v>
      </c>
      <c r="I37" s="25">
        <v>0</v>
      </c>
      <c r="J37" s="29">
        <f t="shared" si="4"/>
        <v>0</v>
      </c>
      <c r="K37" s="25">
        <f t="shared" si="5"/>
        <v>0</v>
      </c>
      <c r="L37" s="29">
        <v>320</v>
      </c>
      <c r="M37" s="29">
        <f t="shared" si="11"/>
        <v>0</v>
      </c>
      <c r="N37" s="25">
        <v>0</v>
      </c>
      <c r="O37" s="25">
        <v>0</v>
      </c>
      <c r="P37" s="25">
        <v>0</v>
      </c>
      <c r="Q37" s="26">
        <v>0</v>
      </c>
      <c r="S37" s="5">
        <f t="shared" si="6"/>
        <v>0</v>
      </c>
      <c r="T37" s="5">
        <f t="shared" si="15"/>
        <v>0</v>
      </c>
      <c r="U37" s="5">
        <f t="shared" si="2"/>
        <v>0</v>
      </c>
      <c r="V37" s="5">
        <f t="shared" si="16"/>
        <v>0</v>
      </c>
      <c r="W37" s="5">
        <f>V37/25</f>
        <v>0</v>
      </c>
      <c r="X37" s="5">
        <f t="shared" si="8"/>
        <v>0</v>
      </c>
      <c r="Y37" s="5">
        <f t="shared" si="9"/>
        <v>0</v>
      </c>
      <c r="Z37" s="4">
        <f t="shared" si="10"/>
        <v>0</v>
      </c>
    </row>
    <row r="38" spans="1:26" x14ac:dyDescent="0.25">
      <c r="A38" s="27">
        <v>32</v>
      </c>
      <c r="B38" s="28" t="s">
        <v>57</v>
      </c>
      <c r="C38" s="25">
        <v>0</v>
      </c>
      <c r="D38" s="26">
        <v>0</v>
      </c>
      <c r="E38" s="25">
        <v>0</v>
      </c>
      <c r="F38" s="29">
        <f t="shared" si="0"/>
        <v>0</v>
      </c>
      <c r="G38" s="29">
        <f t="shared" si="1"/>
        <v>0</v>
      </c>
      <c r="H38" s="25">
        <v>0</v>
      </c>
      <c r="I38" s="25">
        <v>0</v>
      </c>
      <c r="J38" s="29">
        <f t="shared" si="4"/>
        <v>0</v>
      </c>
      <c r="K38" s="25">
        <f t="shared" si="5"/>
        <v>0</v>
      </c>
      <c r="L38" s="29">
        <v>320</v>
      </c>
      <c r="M38" s="29">
        <f t="shared" si="11"/>
        <v>0</v>
      </c>
      <c r="N38" s="25">
        <v>0</v>
      </c>
      <c r="O38" s="25">
        <v>0</v>
      </c>
      <c r="P38" s="25">
        <v>0</v>
      </c>
      <c r="Q38" s="26">
        <v>0</v>
      </c>
      <c r="S38" s="5">
        <f t="shared" si="6"/>
        <v>0</v>
      </c>
      <c r="T38" s="5">
        <f t="shared" si="15"/>
        <v>0</v>
      </c>
      <c r="U38" s="5">
        <f t="shared" si="2"/>
        <v>0</v>
      </c>
      <c r="V38" s="5">
        <f t="shared" si="16"/>
        <v>0</v>
      </c>
      <c r="W38" s="5">
        <f t="shared" si="12"/>
        <v>0</v>
      </c>
      <c r="X38" s="5">
        <f t="shared" si="8"/>
        <v>0</v>
      </c>
      <c r="Y38" s="5">
        <f t="shared" si="9"/>
        <v>0</v>
      </c>
      <c r="Z38" s="4">
        <f t="shared" si="10"/>
        <v>0</v>
      </c>
    </row>
    <row r="39" spans="1:26" x14ac:dyDescent="0.25">
      <c r="A39" s="27">
        <v>33</v>
      </c>
      <c r="B39" s="28" t="s">
        <v>58</v>
      </c>
      <c r="C39" s="25">
        <v>0</v>
      </c>
      <c r="D39" s="26">
        <v>1</v>
      </c>
      <c r="E39" s="25">
        <v>4</v>
      </c>
      <c r="F39" s="29">
        <f t="shared" si="0"/>
        <v>4</v>
      </c>
      <c r="G39" s="29">
        <f t="shared" si="1"/>
        <v>1</v>
      </c>
      <c r="H39" s="25">
        <v>0</v>
      </c>
      <c r="I39" s="25">
        <v>0</v>
      </c>
      <c r="J39" s="29">
        <f t="shared" si="4"/>
        <v>0</v>
      </c>
      <c r="K39" s="25">
        <f t="shared" si="5"/>
        <v>0</v>
      </c>
      <c r="L39" s="29">
        <v>300</v>
      </c>
      <c r="M39" s="29">
        <f t="shared" si="11"/>
        <v>0</v>
      </c>
      <c r="N39" s="25">
        <v>0</v>
      </c>
      <c r="O39" s="25">
        <v>0</v>
      </c>
      <c r="P39" s="25">
        <v>4</v>
      </c>
      <c r="Q39" s="26">
        <v>1</v>
      </c>
      <c r="S39" s="5">
        <f t="shared" si="6"/>
        <v>0</v>
      </c>
      <c r="T39" s="5">
        <f t="shared" si="15"/>
        <v>100</v>
      </c>
      <c r="U39" s="5">
        <f t="shared" si="2"/>
        <v>101</v>
      </c>
      <c r="V39" s="5">
        <f t="shared" si="16"/>
        <v>101</v>
      </c>
      <c r="W39" s="5">
        <f t="shared" si="12"/>
        <v>4.04</v>
      </c>
      <c r="X39" s="5">
        <f t="shared" si="8"/>
        <v>100</v>
      </c>
      <c r="Y39" s="5">
        <f>V39-X39</f>
        <v>1</v>
      </c>
      <c r="Z39" s="4">
        <f>Q39-Y39</f>
        <v>0</v>
      </c>
    </row>
    <row r="40" spans="1:26" x14ac:dyDescent="0.25">
      <c r="A40" s="23">
        <v>34</v>
      </c>
      <c r="B40" s="28" t="s">
        <v>59</v>
      </c>
      <c r="C40" s="25">
        <v>4</v>
      </c>
      <c r="D40" s="26">
        <v>15</v>
      </c>
      <c r="E40" s="25">
        <v>0</v>
      </c>
      <c r="F40" s="29">
        <f t="shared" si="0"/>
        <v>4</v>
      </c>
      <c r="G40" s="29">
        <f t="shared" si="1"/>
        <v>15</v>
      </c>
      <c r="H40" s="25">
        <v>0</v>
      </c>
      <c r="I40" s="25">
        <v>10</v>
      </c>
      <c r="J40" s="29">
        <f t="shared" si="4"/>
        <v>0</v>
      </c>
      <c r="K40" s="25">
        <f t="shared" si="5"/>
        <v>10</v>
      </c>
      <c r="L40" s="29">
        <v>350</v>
      </c>
      <c r="M40" s="29">
        <f t="shared" si="11"/>
        <v>3500</v>
      </c>
      <c r="N40" s="25">
        <v>0</v>
      </c>
      <c r="O40" s="25">
        <v>0</v>
      </c>
      <c r="P40" s="25">
        <v>4</v>
      </c>
      <c r="Q40" s="26">
        <v>5</v>
      </c>
      <c r="S40" s="5">
        <f>K40</f>
        <v>10</v>
      </c>
      <c r="T40" s="5">
        <f t="shared" si="15"/>
        <v>100</v>
      </c>
      <c r="U40" s="5">
        <f t="shared" si="2"/>
        <v>115</v>
      </c>
      <c r="V40" s="5">
        <f t="shared" si="16"/>
        <v>105</v>
      </c>
      <c r="W40" s="5">
        <f>V40/25</f>
        <v>4.2</v>
      </c>
      <c r="X40" s="5">
        <f t="shared" si="8"/>
        <v>100</v>
      </c>
      <c r="Y40" s="5">
        <f>V40-X40</f>
        <v>5</v>
      </c>
      <c r="Z40" s="4">
        <f t="shared" si="10"/>
        <v>0</v>
      </c>
    </row>
    <row r="41" spans="1:26" x14ac:dyDescent="0.25">
      <c r="A41" s="27">
        <v>35</v>
      </c>
      <c r="B41" s="28" t="s">
        <v>60</v>
      </c>
      <c r="C41" s="25">
        <v>6</v>
      </c>
      <c r="D41" s="26">
        <v>16</v>
      </c>
      <c r="E41" s="25">
        <v>0</v>
      </c>
      <c r="F41" s="29">
        <f t="shared" si="0"/>
        <v>6</v>
      </c>
      <c r="G41" s="29">
        <f t="shared" si="1"/>
        <v>16</v>
      </c>
      <c r="H41" s="25">
        <v>0</v>
      </c>
      <c r="I41" s="25">
        <v>19</v>
      </c>
      <c r="J41" s="29">
        <f t="shared" si="4"/>
        <v>0</v>
      </c>
      <c r="K41" s="25">
        <f t="shared" si="5"/>
        <v>19</v>
      </c>
      <c r="L41" s="29">
        <v>330</v>
      </c>
      <c r="M41" s="29">
        <f t="shared" si="11"/>
        <v>6270</v>
      </c>
      <c r="N41" s="25">
        <v>0</v>
      </c>
      <c r="O41" s="25">
        <v>0</v>
      </c>
      <c r="P41" s="25">
        <v>5</v>
      </c>
      <c r="Q41" s="26">
        <v>22</v>
      </c>
      <c r="S41" s="5">
        <f>K41</f>
        <v>19</v>
      </c>
      <c r="T41" s="5">
        <f t="shared" si="15"/>
        <v>150</v>
      </c>
      <c r="U41" s="5">
        <f t="shared" si="2"/>
        <v>166</v>
      </c>
      <c r="V41" s="5">
        <f t="shared" si="16"/>
        <v>147</v>
      </c>
      <c r="W41" s="5">
        <f>V41/25</f>
        <v>5.88</v>
      </c>
      <c r="X41" s="5">
        <f t="shared" si="8"/>
        <v>125</v>
      </c>
      <c r="Y41" s="5">
        <f t="shared" si="9"/>
        <v>22</v>
      </c>
      <c r="Z41" s="4">
        <f t="shared" si="10"/>
        <v>0</v>
      </c>
    </row>
    <row r="42" spans="1:26" x14ac:dyDescent="0.25">
      <c r="A42" s="27">
        <v>36</v>
      </c>
      <c r="B42" s="28" t="s">
        <v>61</v>
      </c>
      <c r="C42" s="25">
        <v>0</v>
      </c>
      <c r="D42" s="26">
        <v>0</v>
      </c>
      <c r="E42" s="25">
        <v>0</v>
      </c>
      <c r="F42" s="29">
        <f t="shared" si="0"/>
        <v>0</v>
      </c>
      <c r="G42" s="29">
        <v>0</v>
      </c>
      <c r="H42" s="25">
        <v>0</v>
      </c>
      <c r="I42" s="25">
        <v>0</v>
      </c>
      <c r="J42" s="29">
        <f>H42*25</f>
        <v>0</v>
      </c>
      <c r="K42" s="25">
        <f t="shared" si="5"/>
        <v>0</v>
      </c>
      <c r="L42" s="29">
        <v>90</v>
      </c>
      <c r="M42" s="29">
        <f t="shared" si="11"/>
        <v>0</v>
      </c>
      <c r="N42" s="25">
        <v>0</v>
      </c>
      <c r="O42" s="25">
        <v>0</v>
      </c>
      <c r="P42" s="25">
        <v>0</v>
      </c>
      <c r="Q42" s="26">
        <v>0</v>
      </c>
      <c r="S42" s="5">
        <f>K42</f>
        <v>0</v>
      </c>
      <c r="T42" s="5">
        <f t="shared" si="15"/>
        <v>0</v>
      </c>
      <c r="U42" s="5">
        <f t="shared" si="2"/>
        <v>0</v>
      </c>
      <c r="V42" s="5">
        <f t="shared" si="16"/>
        <v>0</v>
      </c>
      <c r="W42" s="5">
        <f>V42/25</f>
        <v>0</v>
      </c>
      <c r="X42" s="5">
        <f t="shared" si="8"/>
        <v>0</v>
      </c>
      <c r="Y42" s="5">
        <f>V42-X42</f>
        <v>0</v>
      </c>
      <c r="Z42" s="4">
        <f>Q42-Y42</f>
        <v>0</v>
      </c>
    </row>
    <row r="43" spans="1:26" x14ac:dyDescent="0.25">
      <c r="A43" s="23">
        <v>37</v>
      </c>
      <c r="B43" s="30" t="s">
        <v>62</v>
      </c>
      <c r="C43" s="25">
        <v>13</v>
      </c>
      <c r="D43" s="26">
        <v>4</v>
      </c>
      <c r="E43" s="25">
        <v>0</v>
      </c>
      <c r="F43" s="29">
        <f t="shared" si="0"/>
        <v>13</v>
      </c>
      <c r="G43" s="29">
        <f t="shared" si="1"/>
        <v>4</v>
      </c>
      <c r="H43" s="25">
        <v>2</v>
      </c>
      <c r="I43" s="25">
        <v>24</v>
      </c>
      <c r="J43" s="29">
        <f>H43*25</f>
        <v>50</v>
      </c>
      <c r="K43" s="25">
        <f t="shared" si="5"/>
        <v>74</v>
      </c>
      <c r="L43" s="29">
        <v>90</v>
      </c>
      <c r="M43" s="29">
        <f t="shared" si="11"/>
        <v>6660</v>
      </c>
      <c r="N43" s="25">
        <v>0</v>
      </c>
      <c r="O43" s="25">
        <v>0</v>
      </c>
      <c r="P43" s="25">
        <v>10</v>
      </c>
      <c r="Q43" s="26">
        <v>5</v>
      </c>
      <c r="S43" s="5">
        <f>K43</f>
        <v>74</v>
      </c>
      <c r="T43" s="5">
        <f t="shared" si="15"/>
        <v>325</v>
      </c>
      <c r="U43" s="5">
        <f t="shared" si="2"/>
        <v>329</v>
      </c>
      <c r="V43" s="5">
        <f t="shared" si="16"/>
        <v>255</v>
      </c>
      <c r="W43" s="5">
        <f t="shared" si="12"/>
        <v>10.199999999999999</v>
      </c>
      <c r="X43" s="5">
        <f t="shared" si="8"/>
        <v>250</v>
      </c>
      <c r="Y43" s="5">
        <f>V43-X43</f>
        <v>5</v>
      </c>
      <c r="Z43" s="4">
        <f t="shared" si="10"/>
        <v>0</v>
      </c>
    </row>
    <row r="44" spans="1:26" x14ac:dyDescent="0.25">
      <c r="A44" s="27">
        <v>38</v>
      </c>
      <c r="B44" s="30" t="s">
        <v>63</v>
      </c>
      <c r="C44" s="25">
        <v>3</v>
      </c>
      <c r="D44" s="26">
        <v>22</v>
      </c>
      <c r="E44" s="25">
        <v>0</v>
      </c>
      <c r="F44" s="29">
        <f>C44+E44</f>
        <v>3</v>
      </c>
      <c r="G44" s="29">
        <f t="shared" si="1"/>
        <v>22</v>
      </c>
      <c r="H44" s="25">
        <v>0</v>
      </c>
      <c r="I44" s="25">
        <v>8</v>
      </c>
      <c r="J44" s="29">
        <f t="shared" ref="J44:J46" si="17">H44*25</f>
        <v>0</v>
      </c>
      <c r="K44" s="25">
        <f t="shared" si="5"/>
        <v>8</v>
      </c>
      <c r="L44" s="29">
        <v>90</v>
      </c>
      <c r="M44" s="29">
        <f t="shared" si="11"/>
        <v>720</v>
      </c>
      <c r="N44" s="25">
        <v>0</v>
      </c>
      <c r="O44" s="25">
        <v>0</v>
      </c>
      <c r="P44" s="25">
        <v>3</v>
      </c>
      <c r="Q44" s="26">
        <v>14</v>
      </c>
      <c r="S44" s="5">
        <f>K44</f>
        <v>8</v>
      </c>
      <c r="T44" s="5">
        <f t="shared" si="15"/>
        <v>75</v>
      </c>
      <c r="U44" s="5">
        <f t="shared" si="2"/>
        <v>97</v>
      </c>
      <c r="V44" s="5">
        <f t="shared" si="16"/>
        <v>89</v>
      </c>
      <c r="W44" s="5">
        <f t="shared" si="12"/>
        <v>3.56</v>
      </c>
      <c r="X44" s="5">
        <f t="shared" si="8"/>
        <v>75</v>
      </c>
      <c r="Y44" s="5">
        <f>V44-X44</f>
        <v>14</v>
      </c>
      <c r="Z44" s="4">
        <f t="shared" si="10"/>
        <v>0</v>
      </c>
    </row>
    <row r="45" spans="1:26" x14ac:dyDescent="0.25">
      <c r="A45" s="27">
        <v>39</v>
      </c>
      <c r="B45" s="30" t="s">
        <v>64</v>
      </c>
      <c r="C45" s="25">
        <v>18</v>
      </c>
      <c r="D45" s="26">
        <v>22</v>
      </c>
      <c r="E45" s="25">
        <v>0</v>
      </c>
      <c r="F45" s="29">
        <f t="shared" si="0"/>
        <v>18</v>
      </c>
      <c r="G45" s="29">
        <f t="shared" si="1"/>
        <v>22</v>
      </c>
      <c r="H45" s="25">
        <v>1</v>
      </c>
      <c r="I45" s="25">
        <v>4</v>
      </c>
      <c r="J45" s="29">
        <f t="shared" si="17"/>
        <v>25</v>
      </c>
      <c r="K45" s="25">
        <f t="shared" si="5"/>
        <v>29</v>
      </c>
      <c r="L45" s="29">
        <v>110</v>
      </c>
      <c r="M45" s="29">
        <f t="shared" si="11"/>
        <v>3190</v>
      </c>
      <c r="N45" s="25">
        <v>0</v>
      </c>
      <c r="O45" s="25">
        <v>0</v>
      </c>
      <c r="P45" s="25">
        <v>17</v>
      </c>
      <c r="Q45" s="26">
        <v>18</v>
      </c>
      <c r="S45" s="5">
        <f t="shared" si="6"/>
        <v>29</v>
      </c>
      <c r="T45" s="5">
        <f t="shared" si="15"/>
        <v>450</v>
      </c>
      <c r="U45" s="5">
        <f t="shared" si="2"/>
        <v>472</v>
      </c>
      <c r="V45" s="5">
        <f t="shared" si="16"/>
        <v>443</v>
      </c>
      <c r="W45" s="5">
        <f t="shared" si="12"/>
        <v>17.72</v>
      </c>
      <c r="X45" s="5">
        <f t="shared" si="8"/>
        <v>425</v>
      </c>
      <c r="Y45" s="5">
        <f>V45-X45</f>
        <v>18</v>
      </c>
      <c r="Z45" s="4">
        <f>Q45-Y45</f>
        <v>0</v>
      </c>
    </row>
    <row r="46" spans="1:26" x14ac:dyDescent="0.25">
      <c r="A46" s="23">
        <v>40</v>
      </c>
      <c r="B46" s="30" t="s">
        <v>65</v>
      </c>
      <c r="C46" s="25">
        <v>20</v>
      </c>
      <c r="D46" s="26">
        <v>6</v>
      </c>
      <c r="E46" s="25">
        <v>0</v>
      </c>
      <c r="F46" s="29">
        <f t="shared" si="0"/>
        <v>20</v>
      </c>
      <c r="G46" s="29">
        <f t="shared" si="1"/>
        <v>6</v>
      </c>
      <c r="H46" s="25">
        <v>4</v>
      </c>
      <c r="I46" s="25">
        <v>6</v>
      </c>
      <c r="J46" s="29">
        <f t="shared" si="17"/>
        <v>100</v>
      </c>
      <c r="K46" s="25">
        <f t="shared" si="5"/>
        <v>106</v>
      </c>
      <c r="L46" s="29">
        <v>90</v>
      </c>
      <c r="M46" s="29">
        <f t="shared" si="11"/>
        <v>9540</v>
      </c>
      <c r="N46" s="25">
        <v>0</v>
      </c>
      <c r="O46" s="25">
        <v>0</v>
      </c>
      <c r="P46" s="25">
        <v>16</v>
      </c>
      <c r="Q46" s="26">
        <v>0</v>
      </c>
      <c r="S46" s="5">
        <f t="shared" si="6"/>
        <v>106</v>
      </c>
      <c r="T46" s="5">
        <f t="shared" si="15"/>
        <v>500</v>
      </c>
      <c r="U46" s="5">
        <f t="shared" si="2"/>
        <v>506</v>
      </c>
      <c r="V46" s="5">
        <f t="shared" si="16"/>
        <v>400</v>
      </c>
      <c r="W46" s="5">
        <f t="shared" si="12"/>
        <v>16</v>
      </c>
      <c r="X46" s="5">
        <f t="shared" si="8"/>
        <v>400</v>
      </c>
      <c r="Y46" s="5">
        <f t="shared" ref="Y46:Y63" si="18">V46-X46</f>
        <v>0</v>
      </c>
      <c r="Z46" s="4">
        <f t="shared" si="10"/>
        <v>0</v>
      </c>
    </row>
    <row r="47" spans="1:26" x14ac:dyDescent="0.25">
      <c r="A47" s="27">
        <v>41</v>
      </c>
      <c r="B47" s="30" t="s">
        <v>66</v>
      </c>
      <c r="C47" s="25">
        <v>1</v>
      </c>
      <c r="D47" s="26">
        <v>15</v>
      </c>
      <c r="E47" s="25">
        <v>0</v>
      </c>
      <c r="F47" s="29">
        <f t="shared" si="0"/>
        <v>1</v>
      </c>
      <c r="G47" s="29">
        <f t="shared" si="1"/>
        <v>15</v>
      </c>
      <c r="H47" s="25">
        <v>0</v>
      </c>
      <c r="I47" s="25">
        <v>4</v>
      </c>
      <c r="J47" s="29">
        <f>H47*25</f>
        <v>0</v>
      </c>
      <c r="K47" s="25">
        <f t="shared" si="5"/>
        <v>4</v>
      </c>
      <c r="L47" s="29">
        <v>380</v>
      </c>
      <c r="M47" s="29">
        <f t="shared" si="11"/>
        <v>1520</v>
      </c>
      <c r="N47" s="25">
        <v>0</v>
      </c>
      <c r="O47" s="25">
        <v>0</v>
      </c>
      <c r="P47" s="25">
        <v>1</v>
      </c>
      <c r="Q47" s="26">
        <v>11</v>
      </c>
      <c r="S47" s="5">
        <f t="shared" si="6"/>
        <v>4</v>
      </c>
      <c r="T47" s="5">
        <f t="shared" si="15"/>
        <v>25</v>
      </c>
      <c r="U47" s="5">
        <f t="shared" si="2"/>
        <v>40</v>
      </c>
      <c r="V47" s="5">
        <f t="shared" si="16"/>
        <v>36</v>
      </c>
      <c r="W47" s="5">
        <f t="shared" si="12"/>
        <v>1.44</v>
      </c>
      <c r="X47" s="5">
        <f t="shared" si="8"/>
        <v>25</v>
      </c>
      <c r="Y47" s="5">
        <f t="shared" si="18"/>
        <v>11</v>
      </c>
      <c r="Z47" s="4">
        <f t="shared" si="10"/>
        <v>0</v>
      </c>
    </row>
    <row r="48" spans="1:26" x14ac:dyDescent="0.25">
      <c r="A48" s="27">
        <v>42</v>
      </c>
      <c r="B48" s="30" t="s">
        <v>67</v>
      </c>
      <c r="C48" s="25">
        <v>1</v>
      </c>
      <c r="D48" s="26">
        <v>8</v>
      </c>
      <c r="E48" s="25">
        <v>0</v>
      </c>
      <c r="F48" s="29">
        <f t="shared" si="0"/>
        <v>1</v>
      </c>
      <c r="G48" s="29">
        <f t="shared" si="1"/>
        <v>8</v>
      </c>
      <c r="H48" s="25">
        <v>0</v>
      </c>
      <c r="I48" s="25">
        <v>0</v>
      </c>
      <c r="J48" s="29">
        <f t="shared" si="4"/>
        <v>0</v>
      </c>
      <c r="K48" s="25">
        <f t="shared" si="5"/>
        <v>0</v>
      </c>
      <c r="L48" s="29">
        <v>1500</v>
      </c>
      <c r="M48" s="29">
        <f t="shared" si="11"/>
        <v>0</v>
      </c>
      <c r="N48" s="25">
        <v>0</v>
      </c>
      <c r="O48" s="25">
        <v>0</v>
      </c>
      <c r="P48" s="25">
        <v>1</v>
      </c>
      <c r="Q48" s="26">
        <v>8</v>
      </c>
      <c r="S48" s="5">
        <f t="shared" si="6"/>
        <v>0</v>
      </c>
      <c r="T48" s="5">
        <f t="shared" si="15"/>
        <v>25</v>
      </c>
      <c r="U48" s="5">
        <f t="shared" si="2"/>
        <v>33</v>
      </c>
      <c r="V48" s="5">
        <f t="shared" si="16"/>
        <v>33</v>
      </c>
      <c r="W48" s="5">
        <f t="shared" si="12"/>
        <v>1.32</v>
      </c>
      <c r="X48" s="5">
        <f t="shared" si="8"/>
        <v>25</v>
      </c>
      <c r="Y48" s="5">
        <f t="shared" si="18"/>
        <v>8</v>
      </c>
      <c r="Z48" s="4">
        <f>Q48-Y48</f>
        <v>0</v>
      </c>
    </row>
    <row r="49" spans="1:26" x14ac:dyDescent="0.25">
      <c r="A49" s="23">
        <v>43</v>
      </c>
      <c r="B49" s="30" t="s">
        <v>68</v>
      </c>
      <c r="C49" s="25">
        <v>13</v>
      </c>
      <c r="D49" s="26">
        <v>8</v>
      </c>
      <c r="E49" s="25">
        <v>0</v>
      </c>
      <c r="F49" s="29">
        <f t="shared" si="0"/>
        <v>13</v>
      </c>
      <c r="G49" s="29">
        <f t="shared" si="1"/>
        <v>8</v>
      </c>
      <c r="H49" s="25">
        <v>2</v>
      </c>
      <c r="I49" s="25">
        <v>17</v>
      </c>
      <c r="J49" s="29">
        <f t="shared" si="4"/>
        <v>50</v>
      </c>
      <c r="K49" s="25">
        <f t="shared" si="5"/>
        <v>67</v>
      </c>
      <c r="L49" s="29">
        <v>90</v>
      </c>
      <c r="M49" s="29">
        <f t="shared" si="11"/>
        <v>6030</v>
      </c>
      <c r="N49" s="25">
        <v>0</v>
      </c>
      <c r="O49" s="25">
        <v>0</v>
      </c>
      <c r="P49" s="25">
        <v>10</v>
      </c>
      <c r="Q49" s="26">
        <v>16</v>
      </c>
      <c r="S49" s="5">
        <f t="shared" si="6"/>
        <v>67</v>
      </c>
      <c r="T49" s="5">
        <f t="shared" si="15"/>
        <v>325</v>
      </c>
      <c r="U49" s="5">
        <f t="shared" si="2"/>
        <v>333</v>
      </c>
      <c r="V49" s="5">
        <f t="shared" si="16"/>
        <v>266</v>
      </c>
      <c r="W49" s="5">
        <f t="shared" si="12"/>
        <v>10.64</v>
      </c>
      <c r="X49" s="5">
        <f t="shared" si="8"/>
        <v>250</v>
      </c>
      <c r="Y49" s="5">
        <f t="shared" si="18"/>
        <v>16</v>
      </c>
      <c r="Z49" s="4">
        <f t="shared" ref="Z49:Z63" si="19">Q49-Y49</f>
        <v>0</v>
      </c>
    </row>
    <row r="50" spans="1:26" x14ac:dyDescent="0.25">
      <c r="A50" s="27">
        <v>44</v>
      </c>
      <c r="B50" s="30" t="s">
        <v>69</v>
      </c>
      <c r="C50" s="25">
        <v>3</v>
      </c>
      <c r="D50" s="26">
        <v>15</v>
      </c>
      <c r="E50" s="25">
        <v>0</v>
      </c>
      <c r="F50" s="29">
        <f t="shared" si="0"/>
        <v>3</v>
      </c>
      <c r="G50" s="29">
        <f t="shared" si="1"/>
        <v>15</v>
      </c>
      <c r="H50" s="25">
        <v>0</v>
      </c>
      <c r="I50" s="25">
        <v>0</v>
      </c>
      <c r="J50" s="29">
        <f t="shared" si="4"/>
        <v>0</v>
      </c>
      <c r="K50" s="25">
        <f t="shared" si="5"/>
        <v>0</v>
      </c>
      <c r="L50" s="29">
        <v>90</v>
      </c>
      <c r="M50" s="29">
        <f t="shared" si="11"/>
        <v>0</v>
      </c>
      <c r="N50" s="25">
        <v>0</v>
      </c>
      <c r="O50" s="25">
        <v>0</v>
      </c>
      <c r="P50" s="25">
        <v>3</v>
      </c>
      <c r="Q50" s="26">
        <v>15</v>
      </c>
      <c r="S50" s="5">
        <f t="shared" si="6"/>
        <v>0</v>
      </c>
      <c r="T50" s="5">
        <f t="shared" si="15"/>
        <v>75</v>
      </c>
      <c r="U50" s="5">
        <f t="shared" si="2"/>
        <v>90</v>
      </c>
      <c r="V50" s="5">
        <f t="shared" si="16"/>
        <v>90</v>
      </c>
      <c r="W50" s="5">
        <f>V50/25</f>
        <v>3.6</v>
      </c>
      <c r="X50" s="5">
        <f t="shared" si="8"/>
        <v>75</v>
      </c>
      <c r="Y50" s="5">
        <f>V50-X50</f>
        <v>15</v>
      </c>
      <c r="Z50" s="4">
        <f>Q50-Y50</f>
        <v>0</v>
      </c>
    </row>
    <row r="51" spans="1:26" x14ac:dyDescent="0.25">
      <c r="A51" s="27">
        <v>45</v>
      </c>
      <c r="B51" s="30" t="s">
        <v>70</v>
      </c>
      <c r="C51" s="25">
        <v>2</v>
      </c>
      <c r="D51" s="26">
        <v>16</v>
      </c>
      <c r="E51" s="25">
        <v>0</v>
      </c>
      <c r="F51" s="29">
        <f t="shared" si="0"/>
        <v>2</v>
      </c>
      <c r="G51" s="29">
        <f t="shared" si="1"/>
        <v>16</v>
      </c>
      <c r="H51" s="25">
        <v>0</v>
      </c>
      <c r="I51" s="25">
        <v>8</v>
      </c>
      <c r="J51" s="29">
        <f t="shared" si="4"/>
        <v>0</v>
      </c>
      <c r="K51" s="25">
        <f t="shared" si="5"/>
        <v>8</v>
      </c>
      <c r="L51" s="29">
        <v>300</v>
      </c>
      <c r="M51" s="29">
        <f t="shared" si="11"/>
        <v>2400</v>
      </c>
      <c r="N51" s="25">
        <v>0</v>
      </c>
      <c r="O51" s="25">
        <v>0</v>
      </c>
      <c r="P51" s="25">
        <v>2</v>
      </c>
      <c r="Q51" s="26">
        <v>8</v>
      </c>
      <c r="S51" s="5">
        <f t="shared" si="6"/>
        <v>8</v>
      </c>
      <c r="T51" s="5">
        <f t="shared" si="15"/>
        <v>50</v>
      </c>
      <c r="U51" s="5">
        <f t="shared" si="2"/>
        <v>66</v>
      </c>
      <c r="V51" s="5">
        <f t="shared" si="16"/>
        <v>58</v>
      </c>
      <c r="W51" s="5">
        <f t="shared" si="12"/>
        <v>2.3199999999999998</v>
      </c>
      <c r="X51" s="5">
        <f t="shared" si="8"/>
        <v>50</v>
      </c>
      <c r="Y51" s="5">
        <f t="shared" si="18"/>
        <v>8</v>
      </c>
      <c r="Z51" s="4">
        <f t="shared" si="19"/>
        <v>0</v>
      </c>
    </row>
    <row r="52" spans="1:26" x14ac:dyDescent="0.25">
      <c r="A52" s="23">
        <v>46</v>
      </c>
      <c r="B52" s="30" t="s">
        <v>71</v>
      </c>
      <c r="C52" s="25">
        <v>11</v>
      </c>
      <c r="D52" s="26">
        <v>9</v>
      </c>
      <c r="E52" s="25">
        <v>0</v>
      </c>
      <c r="F52" s="29">
        <f t="shared" si="0"/>
        <v>11</v>
      </c>
      <c r="G52" s="29">
        <f t="shared" si="1"/>
        <v>9</v>
      </c>
      <c r="H52" s="25">
        <v>0</v>
      </c>
      <c r="I52" s="25">
        <v>0</v>
      </c>
      <c r="J52" s="29">
        <f t="shared" si="4"/>
        <v>0</v>
      </c>
      <c r="K52" s="25">
        <f t="shared" si="5"/>
        <v>0</v>
      </c>
      <c r="L52" s="29">
        <v>90</v>
      </c>
      <c r="M52" s="29">
        <f t="shared" si="11"/>
        <v>0</v>
      </c>
      <c r="N52" s="25">
        <v>0</v>
      </c>
      <c r="O52" s="25">
        <v>0</v>
      </c>
      <c r="P52" s="25">
        <v>11</v>
      </c>
      <c r="Q52" s="26">
        <v>9</v>
      </c>
      <c r="S52" s="5">
        <f t="shared" si="6"/>
        <v>0</v>
      </c>
      <c r="T52" s="5">
        <f t="shared" si="15"/>
        <v>275</v>
      </c>
      <c r="U52" s="5">
        <f t="shared" si="2"/>
        <v>284</v>
      </c>
      <c r="V52" s="5">
        <f t="shared" si="16"/>
        <v>284</v>
      </c>
      <c r="W52" s="5">
        <f t="shared" si="12"/>
        <v>11.36</v>
      </c>
      <c r="X52" s="5">
        <f t="shared" si="8"/>
        <v>275</v>
      </c>
      <c r="Y52" s="5">
        <f t="shared" si="18"/>
        <v>9</v>
      </c>
      <c r="Z52" s="4">
        <f>Q52-Y52</f>
        <v>0</v>
      </c>
    </row>
    <row r="53" spans="1:26" x14ac:dyDescent="0.25">
      <c r="A53" s="27">
        <v>47</v>
      </c>
      <c r="B53" s="28" t="s">
        <v>72</v>
      </c>
      <c r="C53" s="25">
        <v>19</v>
      </c>
      <c r="D53" s="26">
        <v>17</v>
      </c>
      <c r="E53" s="25">
        <v>0</v>
      </c>
      <c r="F53" s="29">
        <f t="shared" si="0"/>
        <v>19</v>
      </c>
      <c r="G53" s="29">
        <f t="shared" si="1"/>
        <v>17</v>
      </c>
      <c r="H53" s="25">
        <v>6</v>
      </c>
      <c r="I53" s="25">
        <v>0</v>
      </c>
      <c r="J53" s="29">
        <f t="shared" si="4"/>
        <v>150</v>
      </c>
      <c r="K53" s="25">
        <f t="shared" si="5"/>
        <v>150</v>
      </c>
      <c r="L53" s="29">
        <v>110</v>
      </c>
      <c r="M53" s="29">
        <f t="shared" si="11"/>
        <v>16500</v>
      </c>
      <c r="N53" s="25">
        <v>0</v>
      </c>
      <c r="O53" s="25">
        <v>0</v>
      </c>
      <c r="P53" s="25">
        <v>13</v>
      </c>
      <c r="Q53" s="26">
        <v>17</v>
      </c>
      <c r="S53" s="5">
        <f t="shared" si="6"/>
        <v>150</v>
      </c>
      <c r="T53" s="5">
        <f t="shared" si="15"/>
        <v>475</v>
      </c>
      <c r="U53" s="5">
        <f t="shared" si="2"/>
        <v>492</v>
      </c>
      <c r="V53" s="5">
        <f t="shared" si="16"/>
        <v>342</v>
      </c>
      <c r="W53" s="5">
        <f t="shared" si="12"/>
        <v>13.68</v>
      </c>
      <c r="X53" s="5">
        <f t="shared" si="8"/>
        <v>325</v>
      </c>
      <c r="Y53" s="5">
        <f t="shared" si="18"/>
        <v>17</v>
      </c>
      <c r="Z53" s="4">
        <f>Q53-Y53</f>
        <v>0</v>
      </c>
    </row>
    <row r="54" spans="1:26" x14ac:dyDescent="0.25">
      <c r="A54" s="27">
        <v>48</v>
      </c>
      <c r="B54" s="30" t="s">
        <v>73</v>
      </c>
      <c r="C54" s="25">
        <v>13</v>
      </c>
      <c r="D54" s="26">
        <v>12</v>
      </c>
      <c r="E54" s="25">
        <v>12</v>
      </c>
      <c r="F54" s="29">
        <f t="shared" si="0"/>
        <v>25</v>
      </c>
      <c r="G54" s="29">
        <f t="shared" si="1"/>
        <v>12</v>
      </c>
      <c r="H54" s="25">
        <v>5</v>
      </c>
      <c r="I54" s="25">
        <v>8</v>
      </c>
      <c r="J54" s="29">
        <f t="shared" si="4"/>
        <v>125</v>
      </c>
      <c r="K54" s="25">
        <f t="shared" si="5"/>
        <v>133</v>
      </c>
      <c r="L54" s="29">
        <v>110</v>
      </c>
      <c r="M54" s="29">
        <f t="shared" si="11"/>
        <v>14630</v>
      </c>
      <c r="N54" s="25">
        <v>0</v>
      </c>
      <c r="O54" s="25">
        <v>0</v>
      </c>
      <c r="P54" s="25">
        <v>20</v>
      </c>
      <c r="Q54" s="26">
        <v>4</v>
      </c>
      <c r="S54" s="5">
        <f t="shared" si="6"/>
        <v>133</v>
      </c>
      <c r="T54" s="5">
        <f t="shared" si="15"/>
        <v>625</v>
      </c>
      <c r="U54" s="5">
        <f t="shared" si="2"/>
        <v>637</v>
      </c>
      <c r="V54" s="5">
        <f t="shared" si="16"/>
        <v>504</v>
      </c>
      <c r="W54" s="5">
        <f t="shared" si="12"/>
        <v>20.16</v>
      </c>
      <c r="X54" s="5">
        <f t="shared" si="8"/>
        <v>500</v>
      </c>
      <c r="Y54" s="5">
        <f t="shared" si="18"/>
        <v>4</v>
      </c>
      <c r="Z54" s="4">
        <f>Q54-Y54</f>
        <v>0</v>
      </c>
    </row>
    <row r="55" spans="1:26" x14ac:dyDescent="0.25">
      <c r="A55" s="23">
        <v>49</v>
      </c>
      <c r="B55" s="30" t="s">
        <v>74</v>
      </c>
      <c r="C55" s="25">
        <v>4</v>
      </c>
      <c r="D55" s="26">
        <v>2</v>
      </c>
      <c r="E55" s="25">
        <v>0</v>
      </c>
      <c r="F55" s="29">
        <f t="shared" si="0"/>
        <v>4</v>
      </c>
      <c r="G55" s="29">
        <f t="shared" si="1"/>
        <v>2</v>
      </c>
      <c r="H55" s="25">
        <v>0</v>
      </c>
      <c r="I55" s="25">
        <v>4</v>
      </c>
      <c r="J55" s="29">
        <f t="shared" si="4"/>
        <v>0</v>
      </c>
      <c r="K55" s="25">
        <f t="shared" si="5"/>
        <v>4</v>
      </c>
      <c r="L55" s="29">
        <v>110</v>
      </c>
      <c r="M55" s="29">
        <f t="shared" si="11"/>
        <v>440</v>
      </c>
      <c r="N55" s="25">
        <v>0</v>
      </c>
      <c r="O55" s="25">
        <v>0</v>
      </c>
      <c r="P55" s="25">
        <v>3</v>
      </c>
      <c r="Q55" s="26">
        <v>23</v>
      </c>
      <c r="S55" s="5">
        <f t="shared" si="6"/>
        <v>4</v>
      </c>
      <c r="T55" s="5">
        <f t="shared" si="15"/>
        <v>100</v>
      </c>
      <c r="U55" s="5">
        <f t="shared" si="2"/>
        <v>102</v>
      </c>
      <c r="V55" s="5">
        <f t="shared" si="16"/>
        <v>98</v>
      </c>
      <c r="W55" s="5">
        <f t="shared" si="12"/>
        <v>3.92</v>
      </c>
      <c r="X55" s="5">
        <f t="shared" si="8"/>
        <v>75</v>
      </c>
      <c r="Y55" s="5">
        <f t="shared" si="18"/>
        <v>23</v>
      </c>
      <c r="Z55" s="4">
        <f>Q55-Y55</f>
        <v>0</v>
      </c>
    </row>
    <row r="56" spans="1:26" x14ac:dyDescent="0.25">
      <c r="A56" s="27">
        <v>50</v>
      </c>
      <c r="B56" s="30" t="s">
        <v>75</v>
      </c>
      <c r="C56" s="25">
        <v>0</v>
      </c>
      <c r="D56" s="26">
        <v>0</v>
      </c>
      <c r="E56" s="25">
        <v>0</v>
      </c>
      <c r="F56" s="29">
        <f t="shared" si="0"/>
        <v>0</v>
      </c>
      <c r="G56" s="29">
        <v>0</v>
      </c>
      <c r="H56" s="25">
        <v>0</v>
      </c>
      <c r="I56" s="25">
        <v>0</v>
      </c>
      <c r="J56" s="29">
        <f t="shared" si="4"/>
        <v>0</v>
      </c>
      <c r="K56" s="25">
        <f t="shared" si="5"/>
        <v>0</v>
      </c>
      <c r="L56" s="29">
        <v>500</v>
      </c>
      <c r="M56" s="29">
        <f t="shared" si="11"/>
        <v>0</v>
      </c>
      <c r="N56" s="25">
        <v>0</v>
      </c>
      <c r="O56" s="25">
        <v>0</v>
      </c>
      <c r="P56" s="25">
        <v>0</v>
      </c>
      <c r="Q56" s="26">
        <v>0</v>
      </c>
      <c r="S56" s="5">
        <f t="shared" si="6"/>
        <v>0</v>
      </c>
      <c r="T56" s="5">
        <f t="shared" si="15"/>
        <v>0</v>
      </c>
      <c r="U56" s="5">
        <f t="shared" si="2"/>
        <v>0</v>
      </c>
      <c r="V56" s="5">
        <f t="shared" si="16"/>
        <v>0</v>
      </c>
      <c r="W56" s="5">
        <v>0</v>
      </c>
      <c r="X56" s="5">
        <f t="shared" si="8"/>
        <v>0</v>
      </c>
      <c r="Y56" s="5">
        <f t="shared" si="18"/>
        <v>0</v>
      </c>
      <c r="Z56" s="4">
        <f t="shared" si="19"/>
        <v>0</v>
      </c>
    </row>
    <row r="57" spans="1:26" x14ac:dyDescent="0.25">
      <c r="A57" s="27">
        <v>51</v>
      </c>
      <c r="B57" s="30" t="s">
        <v>76</v>
      </c>
      <c r="C57" s="25">
        <v>3</v>
      </c>
      <c r="D57" s="26">
        <v>20</v>
      </c>
      <c r="E57" s="25">
        <v>0</v>
      </c>
      <c r="F57" s="29">
        <f t="shared" si="0"/>
        <v>3</v>
      </c>
      <c r="G57" s="29">
        <f t="shared" si="1"/>
        <v>20</v>
      </c>
      <c r="H57" s="25">
        <v>0</v>
      </c>
      <c r="I57" s="25">
        <v>0</v>
      </c>
      <c r="J57" s="29">
        <f t="shared" si="4"/>
        <v>0</v>
      </c>
      <c r="K57" s="25">
        <f t="shared" si="5"/>
        <v>0</v>
      </c>
      <c r="L57" s="29">
        <v>400</v>
      </c>
      <c r="M57" s="29">
        <f t="shared" si="11"/>
        <v>0</v>
      </c>
      <c r="N57" s="25">
        <v>0</v>
      </c>
      <c r="O57" s="25">
        <v>0</v>
      </c>
      <c r="P57" s="25">
        <v>3</v>
      </c>
      <c r="Q57" s="26">
        <v>20</v>
      </c>
      <c r="S57" s="5">
        <f t="shared" si="6"/>
        <v>0</v>
      </c>
      <c r="T57" s="5">
        <f t="shared" si="15"/>
        <v>75</v>
      </c>
      <c r="U57" s="5">
        <f t="shared" si="2"/>
        <v>95</v>
      </c>
      <c r="V57" s="5">
        <f t="shared" si="16"/>
        <v>95</v>
      </c>
      <c r="W57" s="5">
        <f t="shared" si="12"/>
        <v>3.8</v>
      </c>
      <c r="X57" s="5">
        <f t="shared" si="8"/>
        <v>75</v>
      </c>
      <c r="Y57" s="5">
        <f t="shared" si="18"/>
        <v>20</v>
      </c>
      <c r="Z57" s="4">
        <f>Q57-Y57</f>
        <v>0</v>
      </c>
    </row>
    <row r="58" spans="1:26" x14ac:dyDescent="0.25">
      <c r="A58" s="23">
        <v>52</v>
      </c>
      <c r="B58" s="30" t="s">
        <v>77</v>
      </c>
      <c r="C58" s="25">
        <v>3</v>
      </c>
      <c r="D58" s="26">
        <v>2</v>
      </c>
      <c r="E58" s="25">
        <v>0</v>
      </c>
      <c r="F58" s="29">
        <f t="shared" si="0"/>
        <v>3</v>
      </c>
      <c r="G58" s="29">
        <f t="shared" si="1"/>
        <v>2</v>
      </c>
      <c r="H58" s="25">
        <v>0</v>
      </c>
      <c r="I58" s="25">
        <v>7</v>
      </c>
      <c r="J58" s="29">
        <f t="shared" si="4"/>
        <v>0</v>
      </c>
      <c r="K58" s="25">
        <f t="shared" si="5"/>
        <v>7</v>
      </c>
      <c r="L58" s="29">
        <v>80</v>
      </c>
      <c r="M58" s="29">
        <f t="shared" si="11"/>
        <v>560</v>
      </c>
      <c r="N58" s="25">
        <v>0</v>
      </c>
      <c r="O58" s="25">
        <v>0</v>
      </c>
      <c r="P58" s="25">
        <v>2</v>
      </c>
      <c r="Q58" s="26">
        <v>20</v>
      </c>
      <c r="S58" s="5">
        <f t="shared" si="6"/>
        <v>7</v>
      </c>
      <c r="T58" s="5">
        <f t="shared" si="15"/>
        <v>75</v>
      </c>
      <c r="U58" s="5">
        <f t="shared" si="2"/>
        <v>77</v>
      </c>
      <c r="V58" s="5">
        <f t="shared" si="16"/>
        <v>70</v>
      </c>
      <c r="W58" s="5">
        <f>V58/25</f>
        <v>2.8</v>
      </c>
      <c r="X58" s="5">
        <f t="shared" si="8"/>
        <v>50</v>
      </c>
      <c r="Y58" s="5">
        <f t="shared" si="18"/>
        <v>20</v>
      </c>
      <c r="Z58" s="4">
        <f>Q58-Y58</f>
        <v>0</v>
      </c>
    </row>
    <row r="59" spans="1:26" x14ac:dyDescent="0.25">
      <c r="A59" s="27">
        <v>53</v>
      </c>
      <c r="B59" s="30" t="s">
        <v>78</v>
      </c>
      <c r="C59" s="25">
        <v>5</v>
      </c>
      <c r="D59" s="26">
        <v>7</v>
      </c>
      <c r="E59" s="25">
        <v>0</v>
      </c>
      <c r="F59" s="29">
        <f t="shared" si="0"/>
        <v>5</v>
      </c>
      <c r="G59" s="29">
        <f t="shared" si="1"/>
        <v>7</v>
      </c>
      <c r="H59" s="25">
        <v>0</v>
      </c>
      <c r="I59" s="25">
        <v>0</v>
      </c>
      <c r="J59" s="29">
        <f>H59*25</f>
        <v>0</v>
      </c>
      <c r="K59" s="25">
        <f t="shared" si="5"/>
        <v>0</v>
      </c>
      <c r="L59" s="29">
        <v>250</v>
      </c>
      <c r="M59" s="29">
        <f t="shared" si="11"/>
        <v>0</v>
      </c>
      <c r="N59" s="25">
        <v>0</v>
      </c>
      <c r="O59" s="25">
        <v>0</v>
      </c>
      <c r="P59" s="25">
        <v>5</v>
      </c>
      <c r="Q59" s="26">
        <v>7</v>
      </c>
      <c r="S59" s="5">
        <f t="shared" si="6"/>
        <v>0</v>
      </c>
      <c r="T59" s="5">
        <f t="shared" si="15"/>
        <v>125</v>
      </c>
      <c r="U59" s="5">
        <f t="shared" si="2"/>
        <v>132</v>
      </c>
      <c r="V59" s="5">
        <f t="shared" si="16"/>
        <v>132</v>
      </c>
      <c r="W59" s="5">
        <f t="shared" si="12"/>
        <v>5.28</v>
      </c>
      <c r="X59" s="5">
        <f t="shared" si="8"/>
        <v>125</v>
      </c>
      <c r="Y59" s="5">
        <f t="shared" si="18"/>
        <v>7</v>
      </c>
      <c r="Z59" s="4">
        <f t="shared" si="19"/>
        <v>0</v>
      </c>
    </row>
    <row r="60" spans="1:26" x14ac:dyDescent="0.25">
      <c r="A60" s="27">
        <v>54</v>
      </c>
      <c r="B60" s="30" t="s">
        <v>79</v>
      </c>
      <c r="C60" s="25">
        <v>6</v>
      </c>
      <c r="D60" s="26">
        <v>9</v>
      </c>
      <c r="E60" s="25">
        <v>0</v>
      </c>
      <c r="F60" s="29">
        <f t="shared" si="0"/>
        <v>6</v>
      </c>
      <c r="G60" s="29">
        <f>D60</f>
        <v>9</v>
      </c>
      <c r="H60" s="25">
        <v>0</v>
      </c>
      <c r="I60" s="25">
        <v>15</v>
      </c>
      <c r="J60" s="29">
        <f t="shared" si="4"/>
        <v>0</v>
      </c>
      <c r="K60" s="25">
        <f t="shared" si="5"/>
        <v>15</v>
      </c>
      <c r="L60" s="29">
        <v>190</v>
      </c>
      <c r="M60" s="29">
        <f t="shared" si="11"/>
        <v>2850</v>
      </c>
      <c r="N60" s="25">
        <v>0</v>
      </c>
      <c r="O60" s="25">
        <v>0</v>
      </c>
      <c r="P60" s="25">
        <v>5</v>
      </c>
      <c r="Q60" s="26">
        <v>19</v>
      </c>
      <c r="S60" s="5">
        <f t="shared" si="6"/>
        <v>15</v>
      </c>
      <c r="T60" s="5">
        <f t="shared" si="15"/>
        <v>150</v>
      </c>
      <c r="U60" s="5">
        <f t="shared" si="2"/>
        <v>159</v>
      </c>
      <c r="V60" s="5">
        <f t="shared" si="16"/>
        <v>144</v>
      </c>
      <c r="W60" s="5">
        <f t="shared" si="12"/>
        <v>5.76</v>
      </c>
      <c r="X60" s="5">
        <f t="shared" si="8"/>
        <v>125</v>
      </c>
      <c r="Y60" s="5">
        <f t="shared" si="18"/>
        <v>19</v>
      </c>
      <c r="Z60" s="4">
        <f t="shared" si="19"/>
        <v>0</v>
      </c>
    </row>
    <row r="61" spans="1:26" x14ac:dyDescent="0.25">
      <c r="A61" s="23">
        <v>55</v>
      </c>
      <c r="B61" s="30" t="s">
        <v>80</v>
      </c>
      <c r="C61" s="25">
        <v>13</v>
      </c>
      <c r="D61" s="26">
        <v>18</v>
      </c>
      <c r="E61" s="25">
        <v>0</v>
      </c>
      <c r="F61" s="29">
        <f t="shared" si="0"/>
        <v>13</v>
      </c>
      <c r="G61" s="29">
        <f>D61</f>
        <v>18</v>
      </c>
      <c r="H61" s="25">
        <v>1</v>
      </c>
      <c r="I61" s="25">
        <v>15</v>
      </c>
      <c r="J61" s="29">
        <f t="shared" si="4"/>
        <v>25</v>
      </c>
      <c r="K61" s="25">
        <f t="shared" si="5"/>
        <v>40</v>
      </c>
      <c r="L61" s="29">
        <v>200</v>
      </c>
      <c r="M61" s="29">
        <f t="shared" si="11"/>
        <v>8000</v>
      </c>
      <c r="N61" s="25">
        <v>0</v>
      </c>
      <c r="O61" s="25">
        <v>0</v>
      </c>
      <c r="P61" s="25">
        <v>12</v>
      </c>
      <c r="Q61" s="26">
        <v>3</v>
      </c>
      <c r="S61" s="5">
        <f t="shared" si="6"/>
        <v>40</v>
      </c>
      <c r="T61" s="5">
        <f t="shared" si="15"/>
        <v>325</v>
      </c>
      <c r="U61" s="5">
        <f t="shared" si="2"/>
        <v>343</v>
      </c>
      <c r="V61" s="5">
        <f t="shared" si="16"/>
        <v>303</v>
      </c>
      <c r="W61" s="5">
        <f t="shared" si="12"/>
        <v>12.12</v>
      </c>
      <c r="X61" s="5">
        <f t="shared" si="8"/>
        <v>300</v>
      </c>
      <c r="Y61" s="5">
        <f t="shared" si="18"/>
        <v>3</v>
      </c>
      <c r="Z61" s="4">
        <f>Q61-Y61</f>
        <v>0</v>
      </c>
    </row>
    <row r="62" spans="1:26" x14ac:dyDescent="0.25">
      <c r="A62" s="27">
        <v>56</v>
      </c>
      <c r="B62" s="30" t="s">
        <v>81</v>
      </c>
      <c r="C62" s="25">
        <v>8</v>
      </c>
      <c r="D62" s="26">
        <v>9</v>
      </c>
      <c r="E62" s="25">
        <v>0</v>
      </c>
      <c r="F62" s="29">
        <f t="shared" si="0"/>
        <v>8</v>
      </c>
      <c r="G62" s="29">
        <f>D62</f>
        <v>9</v>
      </c>
      <c r="H62" s="25">
        <v>1</v>
      </c>
      <c r="I62" s="25">
        <v>2</v>
      </c>
      <c r="J62" s="29">
        <f t="shared" si="4"/>
        <v>25</v>
      </c>
      <c r="K62" s="25">
        <f t="shared" si="5"/>
        <v>27</v>
      </c>
      <c r="L62" s="29">
        <v>150</v>
      </c>
      <c r="M62" s="29">
        <f t="shared" si="11"/>
        <v>4050</v>
      </c>
      <c r="N62" s="25">
        <v>0</v>
      </c>
      <c r="O62" s="25">
        <v>0</v>
      </c>
      <c r="P62" s="25">
        <v>7</v>
      </c>
      <c r="Q62" s="26">
        <v>7</v>
      </c>
      <c r="S62" s="5">
        <f t="shared" si="6"/>
        <v>27</v>
      </c>
      <c r="T62" s="5">
        <f t="shared" si="15"/>
        <v>200</v>
      </c>
      <c r="U62" s="5">
        <f t="shared" si="2"/>
        <v>209</v>
      </c>
      <c r="V62" s="5">
        <f t="shared" si="16"/>
        <v>182</v>
      </c>
      <c r="W62" s="5">
        <f t="shared" si="12"/>
        <v>7.28</v>
      </c>
      <c r="X62" s="5">
        <f t="shared" si="8"/>
        <v>175</v>
      </c>
      <c r="Y62" s="5">
        <f t="shared" si="18"/>
        <v>7</v>
      </c>
      <c r="Z62" s="4">
        <f>Q62-Y62</f>
        <v>0</v>
      </c>
    </row>
    <row r="63" spans="1:26" ht="15.75" thickBot="1" x14ac:dyDescent="0.3">
      <c r="A63" s="27">
        <v>57</v>
      </c>
      <c r="B63" s="30" t="s">
        <v>82</v>
      </c>
      <c r="C63" s="25">
        <v>0</v>
      </c>
      <c r="D63" s="26">
        <v>0</v>
      </c>
      <c r="E63" s="25">
        <v>0</v>
      </c>
      <c r="F63" s="29">
        <f t="shared" si="0"/>
        <v>0</v>
      </c>
      <c r="G63" s="29">
        <f>D63</f>
        <v>0</v>
      </c>
      <c r="H63" s="25">
        <v>0</v>
      </c>
      <c r="I63" s="25">
        <v>0</v>
      </c>
      <c r="J63" s="29">
        <f t="shared" si="4"/>
        <v>0</v>
      </c>
      <c r="K63" s="25">
        <f t="shared" si="5"/>
        <v>0</v>
      </c>
      <c r="L63" s="29">
        <v>170</v>
      </c>
      <c r="M63" s="29">
        <f t="shared" si="11"/>
        <v>0</v>
      </c>
      <c r="N63" s="25">
        <v>0</v>
      </c>
      <c r="O63" s="25">
        <v>0</v>
      </c>
      <c r="P63" s="25">
        <v>0</v>
      </c>
      <c r="Q63" s="26">
        <v>0</v>
      </c>
      <c r="S63" s="5">
        <f t="shared" si="6"/>
        <v>0</v>
      </c>
      <c r="T63" s="5">
        <f t="shared" si="15"/>
        <v>0</v>
      </c>
      <c r="U63" s="5">
        <f t="shared" si="2"/>
        <v>0</v>
      </c>
      <c r="V63" s="5">
        <f t="shared" si="16"/>
        <v>0</v>
      </c>
      <c r="W63" s="5">
        <f t="shared" si="12"/>
        <v>0</v>
      </c>
      <c r="X63" s="5">
        <f t="shared" si="8"/>
        <v>0</v>
      </c>
      <c r="Y63" s="5">
        <f t="shared" si="18"/>
        <v>0</v>
      </c>
      <c r="Z63" s="4">
        <f t="shared" si="19"/>
        <v>0</v>
      </c>
    </row>
    <row r="64" spans="1:26" ht="19.5" thickBot="1" x14ac:dyDescent="0.35">
      <c r="A64" s="23"/>
      <c r="B64" s="24"/>
      <c r="C64" s="25"/>
      <c r="D64" s="32"/>
      <c r="E64" s="25"/>
      <c r="F64" s="25"/>
      <c r="G64" s="25"/>
      <c r="H64" s="25"/>
      <c r="I64" s="25"/>
      <c r="J64" s="25"/>
      <c r="K64" s="25"/>
      <c r="L64" s="32"/>
      <c r="M64" s="33">
        <f>SUM(M7:M63)</f>
        <v>277120</v>
      </c>
      <c r="N64" s="34"/>
      <c r="O64" s="25"/>
      <c r="P64" s="25"/>
      <c r="Q64" s="26"/>
    </row>
    <row r="65" spans="1:26" ht="19.5" thickBot="1" x14ac:dyDescent="0.35">
      <c r="A65" s="23"/>
      <c r="B65" s="24"/>
      <c r="C65" s="25"/>
      <c r="D65" s="32"/>
      <c r="E65" s="25"/>
      <c r="F65" s="25"/>
      <c r="G65" s="25"/>
      <c r="H65" s="25"/>
      <c r="I65" s="25"/>
      <c r="J65" s="25"/>
      <c r="K65" s="25"/>
      <c r="L65" s="32"/>
      <c r="M65" s="33">
        <f>M64*10/100</f>
        <v>27712</v>
      </c>
      <c r="N65" s="34"/>
      <c r="O65" s="25"/>
      <c r="P65" s="25"/>
      <c r="Q65" s="26"/>
    </row>
    <row r="66" spans="1:26" x14ac:dyDescent="0.25">
      <c r="A66" s="35" t="s">
        <v>4</v>
      </c>
      <c r="B66" s="36" t="s">
        <v>5</v>
      </c>
      <c r="C66" s="2" t="s">
        <v>6</v>
      </c>
      <c r="D66" s="2"/>
      <c r="E66" s="37" t="s">
        <v>7</v>
      </c>
      <c r="F66" s="38" t="s">
        <v>8</v>
      </c>
      <c r="G66" s="38"/>
      <c r="H66" s="38" t="s">
        <v>9</v>
      </c>
      <c r="I66" s="38"/>
      <c r="J66" s="37"/>
      <c r="K66" s="37"/>
      <c r="L66" s="37"/>
      <c r="M66" s="37"/>
      <c r="N66" s="38" t="s">
        <v>10</v>
      </c>
      <c r="O66" s="38"/>
      <c r="P66" s="37" t="s">
        <v>11</v>
      </c>
      <c r="Q66" s="39"/>
    </row>
    <row r="67" spans="1:26" x14ac:dyDescent="0.25">
      <c r="A67" s="40"/>
      <c r="B67" s="41"/>
      <c r="C67" s="41" t="s">
        <v>13</v>
      </c>
      <c r="D67" s="41" t="s">
        <v>14</v>
      </c>
      <c r="E67" s="42" t="s">
        <v>13</v>
      </c>
      <c r="F67" s="42" t="s">
        <v>13</v>
      </c>
      <c r="G67" s="42" t="s">
        <v>14</v>
      </c>
      <c r="H67" s="42" t="s">
        <v>83</v>
      </c>
      <c r="I67" s="42" t="s">
        <v>14</v>
      </c>
      <c r="J67" s="42"/>
      <c r="K67" s="42"/>
      <c r="L67" s="42" t="s">
        <v>84</v>
      </c>
      <c r="M67" s="42" t="s">
        <v>85</v>
      </c>
      <c r="N67" s="42" t="s">
        <v>13</v>
      </c>
      <c r="O67" s="42" t="s">
        <v>14</v>
      </c>
      <c r="P67" s="42" t="s">
        <v>83</v>
      </c>
      <c r="Q67" s="43" t="s">
        <v>14</v>
      </c>
    </row>
    <row r="68" spans="1:26" x14ac:dyDescent="0.25">
      <c r="A68" s="44" t="s">
        <v>86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</row>
    <row r="69" spans="1:26" x14ac:dyDescent="0.25">
      <c r="A69" s="23">
        <v>1</v>
      </c>
      <c r="B69" s="24" t="s">
        <v>87</v>
      </c>
      <c r="C69" s="45">
        <v>201</v>
      </c>
      <c r="D69" s="46">
        <v>0</v>
      </c>
      <c r="E69" s="25">
        <v>120</v>
      </c>
      <c r="F69" s="25">
        <f t="shared" ref="F69:F93" si="20">C69+E69</f>
        <v>321</v>
      </c>
      <c r="G69" s="25">
        <v>0</v>
      </c>
      <c r="H69" s="25">
        <v>87</v>
      </c>
      <c r="I69" s="25">
        <v>0</v>
      </c>
      <c r="J69" s="25"/>
      <c r="K69" s="25"/>
      <c r="L69" s="25">
        <v>150</v>
      </c>
      <c r="M69" s="25">
        <f>H69*L69</f>
        <v>13050</v>
      </c>
      <c r="N69" s="25">
        <v>0</v>
      </c>
      <c r="O69" s="25">
        <v>0</v>
      </c>
      <c r="P69" s="25">
        <f>F69-H69-N69</f>
        <v>234</v>
      </c>
      <c r="Q69" s="26">
        <v>0</v>
      </c>
    </row>
    <row r="70" spans="1:26" x14ac:dyDescent="0.25">
      <c r="A70" s="27">
        <v>2</v>
      </c>
      <c r="B70" s="30" t="s">
        <v>88</v>
      </c>
      <c r="C70" s="45">
        <v>124</v>
      </c>
      <c r="D70" s="47">
        <v>0</v>
      </c>
      <c r="E70" s="25">
        <v>0</v>
      </c>
      <c r="F70" s="29">
        <f t="shared" si="20"/>
        <v>124</v>
      </c>
      <c r="G70" s="29">
        <v>0</v>
      </c>
      <c r="H70" s="25">
        <v>38</v>
      </c>
      <c r="I70" s="29">
        <v>0</v>
      </c>
      <c r="J70" s="29"/>
      <c r="K70" s="29"/>
      <c r="L70" s="29">
        <v>150</v>
      </c>
      <c r="M70" s="29">
        <f t="shared" ref="M70:M93" si="21">H70*L70</f>
        <v>5700</v>
      </c>
      <c r="N70" s="29">
        <v>0</v>
      </c>
      <c r="O70" s="29">
        <v>0</v>
      </c>
      <c r="P70" s="25">
        <f t="shared" ref="P70:P93" si="22">F70-H70-N70</f>
        <v>86</v>
      </c>
      <c r="Q70" s="48">
        <v>0</v>
      </c>
    </row>
    <row r="71" spans="1:26" x14ac:dyDescent="0.25">
      <c r="A71" s="27">
        <v>3</v>
      </c>
      <c r="B71" s="30" t="s">
        <v>89</v>
      </c>
      <c r="C71" s="45">
        <v>0</v>
      </c>
      <c r="D71" s="47">
        <v>0</v>
      </c>
      <c r="E71" s="25">
        <v>0</v>
      </c>
      <c r="F71" s="29">
        <f>C71+E71</f>
        <v>0</v>
      </c>
      <c r="G71" s="29">
        <v>0</v>
      </c>
      <c r="H71" s="25">
        <v>0</v>
      </c>
      <c r="I71" s="29">
        <v>0</v>
      </c>
      <c r="J71" s="29"/>
      <c r="K71" s="29"/>
      <c r="L71" s="29">
        <v>250</v>
      </c>
      <c r="M71" s="29">
        <f t="shared" si="21"/>
        <v>0</v>
      </c>
      <c r="N71" s="29">
        <v>0</v>
      </c>
      <c r="O71" s="29">
        <v>0</v>
      </c>
      <c r="P71" s="25">
        <f t="shared" si="22"/>
        <v>0</v>
      </c>
      <c r="Q71" s="48">
        <v>0</v>
      </c>
    </row>
    <row r="72" spans="1:26" x14ac:dyDescent="0.25">
      <c r="A72" s="23">
        <v>4</v>
      </c>
      <c r="B72" s="30" t="s">
        <v>90</v>
      </c>
      <c r="C72" s="45">
        <v>0</v>
      </c>
      <c r="D72" s="47">
        <v>0</v>
      </c>
      <c r="E72" s="25">
        <v>0</v>
      </c>
      <c r="F72" s="29">
        <f t="shared" si="20"/>
        <v>0</v>
      </c>
      <c r="G72" s="29">
        <v>0</v>
      </c>
      <c r="H72" s="25">
        <v>0</v>
      </c>
      <c r="I72" s="29">
        <v>0</v>
      </c>
      <c r="J72" s="29"/>
      <c r="K72" s="29"/>
      <c r="L72" s="29">
        <v>300</v>
      </c>
      <c r="M72" s="29">
        <f t="shared" si="21"/>
        <v>0</v>
      </c>
      <c r="N72" s="29">
        <v>0</v>
      </c>
      <c r="O72" s="29">
        <v>0</v>
      </c>
      <c r="P72" s="25">
        <f t="shared" si="22"/>
        <v>0</v>
      </c>
      <c r="Q72" s="48">
        <v>0</v>
      </c>
    </row>
    <row r="73" spans="1:26" x14ac:dyDescent="0.25">
      <c r="A73" s="27">
        <v>5</v>
      </c>
      <c r="B73" s="30" t="s">
        <v>91</v>
      </c>
      <c r="C73" s="45">
        <v>0</v>
      </c>
      <c r="D73" s="47">
        <v>0</v>
      </c>
      <c r="E73" s="25">
        <v>0</v>
      </c>
      <c r="F73" s="29">
        <f>C73+E73</f>
        <v>0</v>
      </c>
      <c r="G73" s="29">
        <v>0</v>
      </c>
      <c r="H73" s="25">
        <v>0</v>
      </c>
      <c r="I73" s="29">
        <v>0</v>
      </c>
      <c r="J73" s="29"/>
      <c r="K73" s="29"/>
      <c r="L73" s="29">
        <v>300</v>
      </c>
      <c r="M73" s="29">
        <f t="shared" si="21"/>
        <v>0</v>
      </c>
      <c r="N73" s="29">
        <v>0</v>
      </c>
      <c r="O73" s="29">
        <v>0</v>
      </c>
      <c r="P73" s="25">
        <f t="shared" si="22"/>
        <v>0</v>
      </c>
      <c r="Q73" s="48">
        <v>0</v>
      </c>
    </row>
    <row r="74" spans="1:26" x14ac:dyDescent="0.25">
      <c r="A74" s="27">
        <v>6</v>
      </c>
      <c r="B74" s="30" t="s">
        <v>92</v>
      </c>
      <c r="C74" s="45">
        <v>57</v>
      </c>
      <c r="D74" s="47">
        <v>0</v>
      </c>
      <c r="E74" s="25">
        <v>0</v>
      </c>
      <c r="F74" s="29">
        <f t="shared" si="20"/>
        <v>57</v>
      </c>
      <c r="G74" s="29">
        <v>0</v>
      </c>
      <c r="H74" s="25">
        <v>10</v>
      </c>
      <c r="I74" s="29">
        <v>0</v>
      </c>
      <c r="J74" s="29"/>
      <c r="K74" s="29"/>
      <c r="L74" s="29">
        <v>140</v>
      </c>
      <c r="M74" s="29">
        <f t="shared" si="21"/>
        <v>1400</v>
      </c>
      <c r="N74" s="29">
        <v>0</v>
      </c>
      <c r="O74" s="29">
        <v>0</v>
      </c>
      <c r="P74" s="25">
        <f t="shared" si="22"/>
        <v>47</v>
      </c>
      <c r="Q74" s="48">
        <v>0</v>
      </c>
    </row>
    <row r="75" spans="1:26" x14ac:dyDescent="0.25">
      <c r="A75" s="23">
        <v>7</v>
      </c>
      <c r="B75" s="30" t="s">
        <v>93</v>
      </c>
      <c r="C75" s="45">
        <v>82</v>
      </c>
      <c r="D75" s="47">
        <v>0</v>
      </c>
      <c r="E75" s="25">
        <v>0</v>
      </c>
      <c r="F75" s="29">
        <f t="shared" si="20"/>
        <v>82</v>
      </c>
      <c r="G75" s="29">
        <v>0</v>
      </c>
      <c r="H75" s="25">
        <v>11</v>
      </c>
      <c r="I75" s="29">
        <v>0</v>
      </c>
      <c r="J75" s="29"/>
      <c r="K75" s="29"/>
      <c r="L75" s="29">
        <v>140</v>
      </c>
      <c r="M75" s="29">
        <f t="shared" si="21"/>
        <v>1540</v>
      </c>
      <c r="N75" s="29">
        <v>0</v>
      </c>
      <c r="O75" s="29">
        <v>0</v>
      </c>
      <c r="P75" s="25">
        <f>F75-H75-N75</f>
        <v>71</v>
      </c>
      <c r="Q75" s="48">
        <v>0</v>
      </c>
      <c r="Y75" s="5" t="s">
        <v>94</v>
      </c>
      <c r="Z75" s="4">
        <f>SUM(M7:M63)</f>
        <v>277120</v>
      </c>
    </row>
    <row r="76" spans="1:26" x14ac:dyDescent="0.25">
      <c r="A76" s="27">
        <v>8</v>
      </c>
      <c r="B76" s="28" t="s">
        <v>95</v>
      </c>
      <c r="C76" s="45">
        <v>0</v>
      </c>
      <c r="D76" s="29">
        <v>0</v>
      </c>
      <c r="E76" s="25">
        <v>0</v>
      </c>
      <c r="F76" s="29">
        <f>C76+E76</f>
        <v>0</v>
      </c>
      <c r="G76" s="29">
        <v>0</v>
      </c>
      <c r="H76" s="25">
        <v>0</v>
      </c>
      <c r="I76" s="29">
        <v>0</v>
      </c>
      <c r="J76" s="29"/>
      <c r="K76" s="29"/>
      <c r="L76" s="29">
        <v>350</v>
      </c>
      <c r="M76" s="29">
        <f t="shared" si="21"/>
        <v>0</v>
      </c>
      <c r="N76" s="29">
        <v>0</v>
      </c>
      <c r="O76" s="29">
        <v>0</v>
      </c>
      <c r="P76" s="25">
        <f>F76-H76-N76</f>
        <v>0</v>
      </c>
      <c r="Q76" s="48">
        <v>0</v>
      </c>
      <c r="Y76" s="5" t="s">
        <v>96</v>
      </c>
      <c r="Z76" s="4">
        <f>SUM(M69:M93)</f>
        <v>230060</v>
      </c>
    </row>
    <row r="77" spans="1:26" x14ac:dyDescent="0.25">
      <c r="A77" s="27">
        <v>9</v>
      </c>
      <c r="B77" s="28" t="s">
        <v>97</v>
      </c>
      <c r="C77" s="45">
        <v>0</v>
      </c>
      <c r="D77" s="29">
        <v>0</v>
      </c>
      <c r="E77" s="25">
        <v>240</v>
      </c>
      <c r="F77" s="29">
        <f>C77+E77</f>
        <v>240</v>
      </c>
      <c r="G77" s="29">
        <v>0</v>
      </c>
      <c r="H77" s="25">
        <v>23</v>
      </c>
      <c r="I77" s="29">
        <v>0</v>
      </c>
      <c r="J77" s="29"/>
      <c r="K77" s="29"/>
      <c r="L77" s="29">
        <v>320</v>
      </c>
      <c r="M77" s="29">
        <f>H77*L77</f>
        <v>7360</v>
      </c>
      <c r="N77" s="29">
        <v>0</v>
      </c>
      <c r="O77" s="29">
        <v>0</v>
      </c>
      <c r="P77" s="25">
        <f t="shared" si="22"/>
        <v>217</v>
      </c>
      <c r="Q77" s="48">
        <v>0</v>
      </c>
    </row>
    <row r="78" spans="1:26" x14ac:dyDescent="0.25">
      <c r="A78" s="23">
        <v>10</v>
      </c>
      <c r="B78" s="28" t="s">
        <v>98</v>
      </c>
      <c r="C78" s="45">
        <v>108</v>
      </c>
      <c r="D78" s="29">
        <v>0</v>
      </c>
      <c r="E78" s="25">
        <f>120+180</f>
        <v>300</v>
      </c>
      <c r="F78" s="29">
        <f>C78+E78</f>
        <v>408</v>
      </c>
      <c r="G78" s="29">
        <v>0</v>
      </c>
      <c r="H78" s="25">
        <v>289</v>
      </c>
      <c r="I78" s="29">
        <v>0</v>
      </c>
      <c r="J78" s="29"/>
      <c r="K78" s="29"/>
      <c r="L78" s="29">
        <v>350</v>
      </c>
      <c r="M78" s="29">
        <f t="shared" ref="M78:M81" si="23">H78*L78</f>
        <v>101150</v>
      </c>
      <c r="N78" s="29">
        <v>0</v>
      </c>
      <c r="O78" s="29">
        <v>0</v>
      </c>
      <c r="P78" s="25">
        <f t="shared" si="22"/>
        <v>119</v>
      </c>
      <c r="Q78" s="48">
        <v>0</v>
      </c>
    </row>
    <row r="79" spans="1:26" x14ac:dyDescent="0.25">
      <c r="A79" s="27">
        <v>11</v>
      </c>
      <c r="B79" s="28" t="s">
        <v>99</v>
      </c>
      <c r="C79" s="45">
        <v>0</v>
      </c>
      <c r="D79" s="29">
        <v>0</v>
      </c>
      <c r="E79" s="25">
        <f>120+120</f>
        <v>240</v>
      </c>
      <c r="F79" s="29">
        <f>C79+E79</f>
        <v>240</v>
      </c>
      <c r="G79" s="29">
        <v>0</v>
      </c>
      <c r="H79" s="25">
        <v>11</v>
      </c>
      <c r="I79" s="29">
        <v>0</v>
      </c>
      <c r="J79" s="29"/>
      <c r="K79" s="29"/>
      <c r="L79" s="29">
        <v>320</v>
      </c>
      <c r="M79" s="29">
        <f t="shared" si="23"/>
        <v>3520</v>
      </c>
      <c r="N79" s="29">
        <v>0</v>
      </c>
      <c r="O79" s="29">
        <v>0</v>
      </c>
      <c r="P79" s="25">
        <f>F79-H79-N79</f>
        <v>229</v>
      </c>
      <c r="Q79" s="48">
        <v>0</v>
      </c>
    </row>
    <row r="80" spans="1:26" x14ac:dyDescent="0.25">
      <c r="A80" s="23">
        <v>12</v>
      </c>
      <c r="B80" s="28" t="s">
        <v>100</v>
      </c>
      <c r="C80" s="45">
        <v>0</v>
      </c>
      <c r="D80" s="29">
        <v>0</v>
      </c>
      <c r="E80" s="25">
        <v>0</v>
      </c>
      <c r="F80" s="29">
        <f>C80+E80</f>
        <v>0</v>
      </c>
      <c r="G80" s="29">
        <v>0</v>
      </c>
      <c r="H80" s="25">
        <v>0</v>
      </c>
      <c r="I80" s="29">
        <v>0</v>
      </c>
      <c r="J80" s="29"/>
      <c r="K80" s="29"/>
      <c r="L80" s="29">
        <v>250</v>
      </c>
      <c r="M80" s="29">
        <f>H80*L80</f>
        <v>0</v>
      </c>
      <c r="N80" s="29">
        <v>0</v>
      </c>
      <c r="O80" s="29">
        <v>0</v>
      </c>
      <c r="P80" s="25">
        <f>F80-H80-N80</f>
        <v>0</v>
      </c>
      <c r="Q80" s="48">
        <v>0</v>
      </c>
    </row>
    <row r="81" spans="1:26" x14ac:dyDescent="0.25">
      <c r="A81" s="23">
        <v>13</v>
      </c>
      <c r="B81" s="30" t="s">
        <v>101</v>
      </c>
      <c r="C81" s="45">
        <v>0</v>
      </c>
      <c r="D81" s="47">
        <v>0</v>
      </c>
      <c r="E81" s="25">
        <v>0</v>
      </c>
      <c r="F81" s="29">
        <f t="shared" si="20"/>
        <v>0</v>
      </c>
      <c r="G81" s="29">
        <v>0</v>
      </c>
      <c r="H81" s="25">
        <v>0</v>
      </c>
      <c r="I81" s="29">
        <v>0</v>
      </c>
      <c r="J81" s="29"/>
      <c r="K81" s="29"/>
      <c r="L81" s="29">
        <v>300</v>
      </c>
      <c r="M81" s="29">
        <f t="shared" si="23"/>
        <v>0</v>
      </c>
      <c r="N81" s="29">
        <v>0</v>
      </c>
      <c r="O81" s="29">
        <v>0</v>
      </c>
      <c r="P81" s="25">
        <f t="shared" si="22"/>
        <v>0</v>
      </c>
      <c r="Q81" s="48">
        <v>0</v>
      </c>
      <c r="Y81" s="5" t="s">
        <v>102</v>
      </c>
      <c r="Z81" s="4">
        <f>SUM(Z75:Z76)</f>
        <v>507180</v>
      </c>
    </row>
    <row r="82" spans="1:26" x14ac:dyDescent="0.25">
      <c r="A82" s="27">
        <v>14</v>
      </c>
      <c r="B82" s="30" t="s">
        <v>103</v>
      </c>
      <c r="C82" s="45">
        <v>0</v>
      </c>
      <c r="D82" s="47">
        <v>0</v>
      </c>
      <c r="E82" s="25">
        <v>0</v>
      </c>
      <c r="F82" s="29">
        <f t="shared" si="20"/>
        <v>0</v>
      </c>
      <c r="G82" s="29">
        <v>0</v>
      </c>
      <c r="H82" s="25">
        <v>0</v>
      </c>
      <c r="I82" s="29">
        <v>0</v>
      </c>
      <c r="J82" s="29"/>
      <c r="K82" s="29"/>
      <c r="L82" s="29">
        <v>300</v>
      </c>
      <c r="M82" s="29">
        <f t="shared" si="21"/>
        <v>0</v>
      </c>
      <c r="N82" s="29">
        <v>0</v>
      </c>
      <c r="O82" s="29">
        <v>0</v>
      </c>
      <c r="P82" s="25">
        <f t="shared" si="22"/>
        <v>0</v>
      </c>
      <c r="Q82" s="48">
        <v>0</v>
      </c>
      <c r="Y82" s="5" t="s">
        <v>104</v>
      </c>
      <c r="Z82" s="4">
        <f>Z81/100*10</f>
        <v>50718</v>
      </c>
    </row>
    <row r="83" spans="1:26" x14ac:dyDescent="0.25">
      <c r="A83" s="27">
        <v>15</v>
      </c>
      <c r="B83" s="30" t="s">
        <v>105</v>
      </c>
      <c r="C83" s="45">
        <v>11</v>
      </c>
      <c r="D83" s="47">
        <v>0</v>
      </c>
      <c r="E83" s="25">
        <v>0</v>
      </c>
      <c r="F83" s="29">
        <f t="shared" si="20"/>
        <v>11</v>
      </c>
      <c r="G83" s="29">
        <v>0</v>
      </c>
      <c r="H83" s="25">
        <v>11</v>
      </c>
      <c r="I83" s="29">
        <v>0</v>
      </c>
      <c r="J83" s="29"/>
      <c r="K83" s="29"/>
      <c r="L83" s="29">
        <v>280</v>
      </c>
      <c r="M83" s="29">
        <f t="shared" si="21"/>
        <v>3080</v>
      </c>
      <c r="N83" s="29">
        <v>0</v>
      </c>
      <c r="O83" s="29">
        <v>0</v>
      </c>
      <c r="P83" s="25">
        <f t="shared" si="22"/>
        <v>0</v>
      </c>
      <c r="Q83" s="48">
        <v>0</v>
      </c>
    </row>
    <row r="84" spans="1:26" x14ac:dyDescent="0.25">
      <c r="A84" s="23">
        <v>16</v>
      </c>
      <c r="B84" s="30" t="s">
        <v>106</v>
      </c>
      <c r="C84" s="45">
        <v>0</v>
      </c>
      <c r="D84" s="47">
        <v>0</v>
      </c>
      <c r="E84" s="25">
        <v>0</v>
      </c>
      <c r="F84" s="29">
        <f t="shared" si="20"/>
        <v>0</v>
      </c>
      <c r="G84" s="29">
        <v>0</v>
      </c>
      <c r="H84" s="25">
        <v>0</v>
      </c>
      <c r="I84" s="29">
        <v>0</v>
      </c>
      <c r="J84" s="29"/>
      <c r="K84" s="29"/>
      <c r="L84" s="29">
        <v>350</v>
      </c>
      <c r="M84" s="29">
        <f t="shared" si="21"/>
        <v>0</v>
      </c>
      <c r="N84" s="29">
        <v>0</v>
      </c>
      <c r="O84" s="29">
        <v>0</v>
      </c>
      <c r="P84" s="25">
        <f t="shared" si="22"/>
        <v>0</v>
      </c>
      <c r="Q84" s="48">
        <v>0</v>
      </c>
    </row>
    <row r="85" spans="1:26" x14ac:dyDescent="0.25">
      <c r="A85" s="27">
        <v>17</v>
      </c>
      <c r="B85" s="30" t="s">
        <v>107</v>
      </c>
      <c r="C85" s="45">
        <v>57</v>
      </c>
      <c r="D85" s="47">
        <v>0</v>
      </c>
      <c r="E85" s="25">
        <v>0</v>
      </c>
      <c r="F85" s="29">
        <f t="shared" si="20"/>
        <v>57</v>
      </c>
      <c r="G85" s="29">
        <v>0</v>
      </c>
      <c r="H85" s="25">
        <v>24</v>
      </c>
      <c r="I85" s="29">
        <v>0</v>
      </c>
      <c r="J85" s="29"/>
      <c r="K85" s="29"/>
      <c r="L85" s="29">
        <v>140</v>
      </c>
      <c r="M85" s="29">
        <f t="shared" si="21"/>
        <v>3360</v>
      </c>
      <c r="N85" s="29">
        <v>0</v>
      </c>
      <c r="O85" s="29">
        <v>0</v>
      </c>
      <c r="P85" s="25">
        <f t="shared" si="22"/>
        <v>33</v>
      </c>
      <c r="Q85" s="48">
        <v>0</v>
      </c>
    </row>
    <row r="86" spans="1:26" x14ac:dyDescent="0.25">
      <c r="A86" s="27">
        <v>18</v>
      </c>
      <c r="B86" s="30" t="s">
        <v>108</v>
      </c>
      <c r="C86" s="45">
        <v>8</v>
      </c>
      <c r="D86" s="47">
        <v>0</v>
      </c>
      <c r="E86" s="25">
        <v>36</v>
      </c>
      <c r="F86" s="29">
        <f>C86+E86</f>
        <v>44</v>
      </c>
      <c r="G86" s="29">
        <v>0</v>
      </c>
      <c r="H86" s="25">
        <v>6</v>
      </c>
      <c r="I86" s="29">
        <v>0</v>
      </c>
      <c r="J86" s="29"/>
      <c r="K86" s="29"/>
      <c r="L86" s="29">
        <v>300</v>
      </c>
      <c r="M86" s="29">
        <f t="shared" si="21"/>
        <v>1800</v>
      </c>
      <c r="N86" s="29">
        <v>0</v>
      </c>
      <c r="O86" s="29">
        <v>0</v>
      </c>
      <c r="P86" s="25">
        <f>F86-H86-N86</f>
        <v>38</v>
      </c>
      <c r="Q86" s="48">
        <v>0</v>
      </c>
    </row>
    <row r="87" spans="1:26" x14ac:dyDescent="0.25">
      <c r="A87" s="23">
        <v>19</v>
      </c>
      <c r="B87" s="30" t="s">
        <v>109</v>
      </c>
      <c r="C87" s="45">
        <v>0</v>
      </c>
      <c r="D87" s="47">
        <v>0</v>
      </c>
      <c r="E87" s="25">
        <f>120+240</f>
        <v>360</v>
      </c>
      <c r="F87" s="29">
        <f>C87+E87</f>
        <v>360</v>
      </c>
      <c r="G87" s="29">
        <v>0</v>
      </c>
      <c r="H87" s="25">
        <v>147</v>
      </c>
      <c r="I87" s="29">
        <v>0</v>
      </c>
      <c r="J87" s="29"/>
      <c r="K87" s="29"/>
      <c r="L87" s="29">
        <v>300</v>
      </c>
      <c r="M87" s="29">
        <f t="shared" si="21"/>
        <v>44100</v>
      </c>
      <c r="N87" s="29">
        <v>0</v>
      </c>
      <c r="O87" s="29">
        <v>0</v>
      </c>
      <c r="P87" s="25">
        <f>F87-H87-N87</f>
        <v>213</v>
      </c>
      <c r="Q87" s="48">
        <v>0</v>
      </c>
    </row>
    <row r="88" spans="1:26" x14ac:dyDescent="0.25">
      <c r="A88" s="27">
        <v>20</v>
      </c>
      <c r="B88" s="30" t="s">
        <v>110</v>
      </c>
      <c r="C88" s="45">
        <v>0</v>
      </c>
      <c r="D88" s="47">
        <v>0</v>
      </c>
      <c r="E88" s="25">
        <v>0</v>
      </c>
      <c r="F88" s="29">
        <f t="shared" si="20"/>
        <v>0</v>
      </c>
      <c r="G88" s="29">
        <v>0</v>
      </c>
      <c r="H88" s="25">
        <v>0</v>
      </c>
      <c r="I88" s="29">
        <v>0</v>
      </c>
      <c r="J88" s="29"/>
      <c r="K88" s="29"/>
      <c r="L88" s="29">
        <v>300</v>
      </c>
      <c r="M88" s="29">
        <f t="shared" si="21"/>
        <v>0</v>
      </c>
      <c r="N88" s="29">
        <v>0</v>
      </c>
      <c r="O88" s="29">
        <v>0</v>
      </c>
      <c r="P88" s="25">
        <f t="shared" si="22"/>
        <v>0</v>
      </c>
      <c r="Q88" s="48">
        <v>0</v>
      </c>
    </row>
    <row r="89" spans="1:26" x14ac:dyDescent="0.25">
      <c r="A89" s="27">
        <v>21</v>
      </c>
      <c r="B89" s="30" t="s">
        <v>111</v>
      </c>
      <c r="C89" s="45">
        <v>0</v>
      </c>
      <c r="D89" s="47">
        <v>0</v>
      </c>
      <c r="E89" s="25">
        <v>120</v>
      </c>
      <c r="F89" s="29">
        <f t="shared" si="20"/>
        <v>120</v>
      </c>
      <c r="G89" s="29">
        <v>0</v>
      </c>
      <c r="H89" s="25">
        <v>101</v>
      </c>
      <c r="I89" s="29">
        <v>0</v>
      </c>
      <c r="J89" s="29"/>
      <c r="K89" s="29"/>
      <c r="L89" s="29">
        <v>350</v>
      </c>
      <c r="M89" s="29">
        <f t="shared" si="21"/>
        <v>35350</v>
      </c>
      <c r="N89" s="29">
        <v>0</v>
      </c>
      <c r="O89" s="29">
        <v>0</v>
      </c>
      <c r="P89" s="25">
        <f t="shared" si="22"/>
        <v>19</v>
      </c>
      <c r="Q89" s="48">
        <v>0</v>
      </c>
    </row>
    <row r="90" spans="1:26" x14ac:dyDescent="0.25">
      <c r="A90" s="23">
        <v>22</v>
      </c>
      <c r="B90" s="49" t="s">
        <v>112</v>
      </c>
      <c r="C90" s="45">
        <v>21</v>
      </c>
      <c r="D90" s="50">
        <v>0</v>
      </c>
      <c r="E90" s="25">
        <v>120</v>
      </c>
      <c r="F90" s="51">
        <f t="shared" si="20"/>
        <v>141</v>
      </c>
      <c r="G90" s="51">
        <v>0</v>
      </c>
      <c r="H90" s="25">
        <v>14</v>
      </c>
      <c r="I90" s="51">
        <v>0</v>
      </c>
      <c r="J90" s="51"/>
      <c r="K90" s="51"/>
      <c r="L90" s="51">
        <v>350</v>
      </c>
      <c r="M90" s="29">
        <f t="shared" si="21"/>
        <v>4900</v>
      </c>
      <c r="N90" s="51">
        <v>0</v>
      </c>
      <c r="O90" s="51">
        <v>0</v>
      </c>
      <c r="P90" s="25">
        <f>F90-H90-N90</f>
        <v>127</v>
      </c>
      <c r="Q90" s="52">
        <v>0</v>
      </c>
    </row>
    <row r="91" spans="1:26" x14ac:dyDescent="0.25">
      <c r="A91" s="27">
        <v>23</v>
      </c>
      <c r="B91" s="49" t="s">
        <v>113</v>
      </c>
      <c r="C91" s="45">
        <v>10</v>
      </c>
      <c r="D91" s="50">
        <v>0</v>
      </c>
      <c r="E91" s="25">
        <v>0</v>
      </c>
      <c r="F91" s="51">
        <f t="shared" si="20"/>
        <v>10</v>
      </c>
      <c r="G91" s="51">
        <v>0</v>
      </c>
      <c r="H91" s="25">
        <v>10</v>
      </c>
      <c r="I91" s="51">
        <v>0</v>
      </c>
      <c r="J91" s="51"/>
      <c r="K91" s="51"/>
      <c r="L91" s="53">
        <v>200</v>
      </c>
      <c r="M91" s="29">
        <f t="shared" si="21"/>
        <v>2000</v>
      </c>
      <c r="N91" s="51">
        <v>0</v>
      </c>
      <c r="O91" s="51">
        <v>0</v>
      </c>
      <c r="P91" s="25">
        <f t="shared" si="22"/>
        <v>0</v>
      </c>
      <c r="Q91" s="52">
        <v>0</v>
      </c>
    </row>
    <row r="92" spans="1:26" x14ac:dyDescent="0.25">
      <c r="A92" s="23">
        <v>24</v>
      </c>
      <c r="B92" s="49" t="s">
        <v>114</v>
      </c>
      <c r="C92" s="45">
        <v>5</v>
      </c>
      <c r="D92" s="50">
        <v>0</v>
      </c>
      <c r="E92" s="25">
        <v>0</v>
      </c>
      <c r="F92" s="51">
        <f t="shared" si="20"/>
        <v>5</v>
      </c>
      <c r="G92" s="51">
        <v>0</v>
      </c>
      <c r="H92" s="25">
        <v>5</v>
      </c>
      <c r="I92" s="51">
        <v>0</v>
      </c>
      <c r="J92" s="51"/>
      <c r="K92" s="51"/>
      <c r="L92" s="53">
        <v>350</v>
      </c>
      <c r="M92" s="29">
        <f t="shared" si="21"/>
        <v>1750</v>
      </c>
      <c r="N92" s="51">
        <v>0</v>
      </c>
      <c r="O92" s="51">
        <v>0</v>
      </c>
      <c r="P92" s="25">
        <f t="shared" si="22"/>
        <v>0</v>
      </c>
      <c r="Q92" s="52">
        <v>0</v>
      </c>
    </row>
    <row r="93" spans="1:26" ht="15.75" thickBot="1" x14ac:dyDescent="0.3">
      <c r="A93" s="23">
        <v>25</v>
      </c>
      <c r="B93" s="49" t="s">
        <v>115</v>
      </c>
      <c r="C93" s="45">
        <v>0</v>
      </c>
      <c r="D93" s="50">
        <v>0</v>
      </c>
      <c r="E93" s="25">
        <v>0</v>
      </c>
      <c r="F93" s="51">
        <f t="shared" si="20"/>
        <v>0</v>
      </c>
      <c r="G93" s="51">
        <v>0</v>
      </c>
      <c r="H93" s="25">
        <v>0</v>
      </c>
      <c r="I93" s="51">
        <v>0</v>
      </c>
      <c r="J93" s="51"/>
      <c r="K93" s="51"/>
      <c r="L93" s="53">
        <v>200</v>
      </c>
      <c r="M93" s="29">
        <f t="shared" si="21"/>
        <v>0</v>
      </c>
      <c r="N93" s="51">
        <v>0</v>
      </c>
      <c r="O93" s="51">
        <v>0</v>
      </c>
      <c r="P93" s="25">
        <f t="shared" si="22"/>
        <v>0</v>
      </c>
      <c r="Q93" s="52">
        <v>0</v>
      </c>
    </row>
    <row r="94" spans="1:26" ht="19.5" thickBot="1" x14ac:dyDescent="0.35">
      <c r="A94" s="54"/>
      <c r="B94" s="55"/>
      <c r="C94" s="55"/>
      <c r="D94" s="55"/>
      <c r="E94" s="56"/>
      <c r="F94" s="56"/>
      <c r="G94" s="56"/>
      <c r="H94" s="56"/>
      <c r="I94" s="56"/>
      <c r="J94" s="55"/>
      <c r="K94" s="55"/>
      <c r="L94" s="57"/>
      <c r="M94" s="58">
        <f>SUM(M69:M93)</f>
        <v>230060</v>
      </c>
      <c r="N94" s="59"/>
      <c r="O94" s="55"/>
      <c r="P94" s="56"/>
      <c r="Q94" s="60"/>
    </row>
    <row r="95" spans="1:26" ht="15.75" thickBot="1" x14ac:dyDescent="0.3">
      <c r="A95" s="61"/>
      <c r="B95" s="62"/>
      <c r="C95" s="63"/>
      <c r="D95" s="63"/>
      <c r="E95" s="64"/>
      <c r="F95" s="64"/>
      <c r="G95" s="64"/>
      <c r="H95" s="64"/>
      <c r="I95" s="64"/>
      <c r="J95" s="63"/>
      <c r="K95" s="63"/>
      <c r="L95" s="63"/>
      <c r="M95" s="62">
        <f>M94*10/100</f>
        <v>23006</v>
      </c>
      <c r="N95" s="63"/>
      <c r="O95" s="63"/>
      <c r="P95" s="64"/>
      <c r="Q95" s="65"/>
    </row>
    <row r="96" spans="1:26" x14ac:dyDescent="0.25">
      <c r="P96" s="4"/>
      <c r="Q96" s="4"/>
      <c r="S96" s="4"/>
      <c r="T96" s="4"/>
      <c r="U96" s="4"/>
      <c r="V96" s="4"/>
    </row>
    <row r="97" spans="16:23" x14ac:dyDescent="0.25">
      <c r="P97" s="4"/>
      <c r="Q97" s="4"/>
      <c r="S97" s="4"/>
      <c r="T97" s="4"/>
      <c r="U97" s="4"/>
      <c r="V97" s="4"/>
      <c r="W97" s="4"/>
    </row>
  </sheetData>
  <mergeCells count="14">
    <mergeCell ref="C66:D66"/>
    <mergeCell ref="F66:G66"/>
    <mergeCell ref="H66:I66"/>
    <mergeCell ref="N66:O66"/>
    <mergeCell ref="A68:Q68"/>
    <mergeCell ref="A1:Q1"/>
    <mergeCell ref="A2:Q2"/>
    <mergeCell ref="A3:Q3"/>
    <mergeCell ref="A4:Q4"/>
    <mergeCell ref="C5:D5"/>
    <mergeCell ref="F5:G5"/>
    <mergeCell ref="H5:I5"/>
    <mergeCell ref="N5:O5"/>
    <mergeCell ref="P5:Q5"/>
  </mergeCells>
  <conditionalFormatting sqref="Z7:Z6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.</dc:creator>
  <cp:lastModifiedBy>Neeraj .</cp:lastModifiedBy>
  <dcterms:created xsi:type="dcterms:W3CDTF">2015-06-05T18:17:20Z</dcterms:created>
  <dcterms:modified xsi:type="dcterms:W3CDTF">2026-08-30T11:31:53Z</dcterms:modified>
</cp:coreProperties>
</file>